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_excel_analysis\powerbi\work_data\Excel_dashboard\Final_Hospital_Emergency_Room_dashboard\"/>
    </mc:Choice>
  </mc:AlternateContent>
  <xr:revisionPtr revIDLastSave="0" documentId="13_ncr:1_{A7D4BEFC-CBBB-42A1-B54A-64556BC547BB}" xr6:coauthVersionLast="47" xr6:coauthVersionMax="47" xr10:uidLastSave="{00000000-0000-0000-0000-000000000000}"/>
  <bookViews>
    <workbookView xWindow="-110" yWindow="-110" windowWidth="19420" windowHeight="10300" firstSheet="1" activeTab="1" xr2:uid="{6D48CA4D-5328-4769-A23A-7A27D302D57D}"/>
  </bookViews>
  <sheets>
    <sheet name="Pivot Report" sheetId="1" r:id="rId1"/>
    <sheet name="Dashboard" sheetId="2" r:id="rId2"/>
    <sheet name="Satisfaction Score daily trends" sheetId="5" r:id="rId3"/>
    <sheet name="Average Wait time daily trend" sheetId="4" r:id="rId4"/>
    <sheet name="No.of patient visit area chart"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cf91c74-d649-4e39-8fcd-58697ca3b744" name="Hospital Emergency Room Data" connection="Query - Hospital Emergency Room Data"/>
          <x15:modelTable id="Calendar_Table_0a80bab2-ad5d-4038-beac-c247e0208dc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6" i="1" l="1"/>
  <c r="C46" i="1"/>
  <c r="B47" i="1"/>
  <c r="C47" i="1"/>
  <c r="A46"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DCF8B-1BDA-40A1-A76B-9CF24B77DDBF}" name="Query - Calendar_Table" description="Connection to the 'Calendar_Table' query in the workbook." type="100" refreshedVersion="8" minRefreshableVersion="5">
    <extLst>
      <ext xmlns:x15="http://schemas.microsoft.com/office/spreadsheetml/2010/11/main" uri="{DE250136-89BD-433C-8126-D09CA5730AF9}">
        <x15:connection id="d9ba9bb2-dd7f-4709-8ae0-079c722b1cf7"/>
      </ext>
    </extLst>
  </connection>
  <connection id="2" xr16:uid="{61C905C9-17B1-4442-B82A-9A798F4A984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1c3da61-d940-43b0-87c7-41897bf38045"/>
      </ext>
    </extLst>
  </connection>
  <connection id="3" xr16:uid="{2CD45BA2-338B-45CF-BF3C-F5EEEB55EAF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<sst xmlns="http://schemas.openxmlformats.org/spreadsheetml/2006/main" count="153" uniqueCount="75">
  <si>
    <t>Distinct Count of Patient Id</t>
  </si>
  <si>
    <t>No. of patient</t>
  </si>
  <si>
    <t>Average of Patient Waittime</t>
  </si>
  <si>
    <t>Average of Patient Satisfaction Score</t>
  </si>
  <si>
    <t>Row Labels</t>
  </si>
  <si>
    <t>Grand Total</t>
  </si>
  <si>
    <t>average wait time</t>
  </si>
  <si>
    <t>Daily trends of No. of patient</t>
  </si>
  <si>
    <t>Average of Patient Waittime2</t>
  </si>
  <si>
    <t>Satisfaction score daily trend</t>
  </si>
  <si>
    <t>Count of Patient Admission Flag</t>
  </si>
  <si>
    <t>Admitted</t>
  </si>
  <si>
    <t>Not Admitted</t>
  </si>
  <si>
    <t>Count of Patient Admission Flag2</t>
  </si>
  <si>
    <t>Admission Status</t>
  </si>
  <si>
    <t>%status</t>
  </si>
  <si>
    <t>Patient</t>
  </si>
  <si>
    <t>0-19</t>
  </si>
  <si>
    <t>10-19</t>
  </si>
  <si>
    <t>20-29</t>
  </si>
  <si>
    <t>30-39</t>
  </si>
  <si>
    <t>40-49</t>
  </si>
  <si>
    <t>50-59</t>
  </si>
  <si>
    <t>60-69</t>
  </si>
  <si>
    <t>70-79</t>
  </si>
  <si>
    <t>Count of Age Group</t>
  </si>
  <si>
    <t>Age groupwise analysis</t>
  </si>
  <si>
    <t>Delay</t>
  </si>
  <si>
    <t>ontime</t>
  </si>
  <si>
    <t>Count of Patient Id</t>
  </si>
  <si>
    <t>Attended Status</t>
  </si>
  <si>
    <t>Female</t>
  </si>
  <si>
    <t>Male</t>
  </si>
  <si>
    <t>Count of Patient Gender</t>
  </si>
  <si>
    <t>Gender wiae analysis</t>
  </si>
  <si>
    <t>Cardiology</t>
  </si>
  <si>
    <t>Gastroenterology</t>
  </si>
  <si>
    <t>General Practice</t>
  </si>
  <si>
    <t>Neurology</t>
  </si>
  <si>
    <t>None</t>
  </si>
  <si>
    <t>Orthopedics</t>
  </si>
  <si>
    <t>Physiotherapy</t>
  </si>
  <si>
    <t>Renal</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</si>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</sst>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rgb="FFFFFFFF"/>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227ACB"/>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0" fontId="0" fillId="5" borderId="0" xfId="0" applyFill="1"/>
    <xf numFmtId="0" fontId="2" fillId="5" borderId="0" xfId="0" applyFont="1" applyFill="1" applyAlignment="1">
      <alignment horizontal="center"/>
    </xf>
    <xf numFmtId="0" fontId="0" fillId="6" borderId="0" xfId="0" applyFill="1" applyAlignment="1">
      <alignment horizontal="center"/>
    </xf>
    <xf numFmtId="9" fontId="0" fillId="6" borderId="0" xfId="1" applyFont="1" applyFill="1" applyAlignment="1">
      <alignment horizontal="center"/>
    </xf>
    <xf numFmtId="0" fontId="0" fillId="6" borderId="0" xfId="0" applyFill="1"/>
    <xf numFmtId="0" fontId="0" fillId="2" borderId="0" xfId="0" applyFill="1" applyAlignment="1">
      <alignment horizontal="center" vertical="center"/>
    </xf>
  </cellXfs>
  <cellStyles count="2">
    <cellStyle name="Normal" xfId="0" builtinId="0"/>
    <cellStyle name="Percent" xfId="1" builtinId="5"/>
  </cellStyles>
  <dxfs count="15">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font>
        <b/>
        <color theme="1"/>
      </font>
      <border>
        <bottom style="thin">
          <color rgb="FF4F81BD"/>
        </bottom>
        <vertical/>
        <horizontal/>
      </border>
    </dxf>
    <dxf>
      <font>
        <b/>
        <i val="0"/>
        <sz val="14"/>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Design" pivot="0" table="0" count="10" xr9:uid="{E3F9B1AD-7C03-4D27-8F19-94D3EB432805}">
      <tableStyleElement type="wholeTable" dxfId="14"/>
      <tableStyleElement type="headerRow" dxfId="13"/>
    </tableStyle>
  </tableStyles>
  <colors>
    <mruColors>
      <color rgb="FFFFFFFF"/>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wrap="non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1.59204835311079E-2"/>
          <c:y val="9.5460861509958309E-3"/>
          <c:w val="0.93011982197877441"/>
          <c:h val="0.8416746864975212"/>
        </c:manualLayout>
      </c:layout>
      <c:barChart>
        <c:barDir val="bar"/>
        <c:grouping val="clustered"/>
        <c:varyColors val="0"/>
        <c:ser>
          <c:idx val="0"/>
          <c:order val="0"/>
          <c:tx>
            <c:strRef>
              <c:f>'Pivot Report'!$B$37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448-482A-8E22-8942F8FB1699}"/>
              </c:ext>
            </c:extLst>
          </c:dPt>
          <c:dLbls>
            <c:spPr>
              <a:noFill/>
              <a:ln>
                <a:noFill/>
              </a:ln>
              <a:effectLst/>
            </c:spPr>
            <c:txPr>
              <a:bodyPr wrap="non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Report'!$A$38:$A$40</c:f>
              <c:strCache>
                <c:ptCount val="2"/>
                <c:pt idx="0">
                  <c:v>Admitted</c:v>
                </c:pt>
                <c:pt idx="1">
                  <c:v>Not Admitted</c:v>
                </c:pt>
              </c:strCache>
            </c:strRef>
          </c:cat>
          <c:val>
            <c:numRef>
              <c:f>'Pivot Report'!$B$38:$B$40</c:f>
              <c:numCache>
                <c:formatCode>0</c:formatCode>
                <c:ptCount val="2"/>
                <c:pt idx="0">
                  <c:v>252</c:v>
                </c:pt>
                <c:pt idx="1">
                  <c:v>254</c:v>
                </c:pt>
              </c:numCache>
            </c:numRef>
          </c:val>
          <c:extLst>
            <c:ext xmlns:c16="http://schemas.microsoft.com/office/drawing/2014/chart" uri="{C3380CC4-5D6E-409C-BE32-E72D297353CC}">
              <c16:uniqueId val="{00000008-D209-4EC5-AD88-A9489B7BBD06}"/>
            </c:ext>
          </c:extLst>
        </c:ser>
        <c:ser>
          <c:idx val="1"/>
          <c:order val="1"/>
          <c:tx>
            <c:strRef>
              <c:f>'Pivot Report'!$C$37</c:f>
              <c:strCache>
                <c:ptCount val="1"/>
                <c:pt idx="0">
                  <c:v>Count of Patient Admission Flag2</c:v>
                </c:pt>
              </c:strCache>
            </c:strRef>
          </c:tx>
          <c:spPr>
            <a:solidFill>
              <a:schemeClr val="accent2"/>
            </a:solidFill>
            <a:ln>
              <a:noFill/>
            </a:ln>
            <a:effectLst/>
          </c:spPr>
          <c:invertIfNegative val="0"/>
          <c:cat>
            <c:strRef>
              <c:f>'Pivot Report'!$A$38:$A$40</c:f>
              <c:strCache>
                <c:ptCount val="2"/>
                <c:pt idx="0">
                  <c:v>Admitted</c:v>
                </c:pt>
                <c:pt idx="1">
                  <c:v>Not Admitted</c:v>
                </c:pt>
              </c:strCache>
            </c:strRef>
          </c:cat>
          <c:val>
            <c:numRef>
              <c:f>'Pivot Report'!$C$38:$C$40</c:f>
              <c:numCache>
                <c:formatCode>0.00%</c:formatCode>
                <c:ptCount val="2"/>
                <c:pt idx="0">
                  <c:v>0.49802371541501977</c:v>
                </c:pt>
                <c:pt idx="1">
                  <c:v>0.50197628458498023</c:v>
                </c:pt>
              </c:numCache>
            </c:numRef>
          </c:val>
          <c:extLst>
            <c:ext xmlns:c16="http://schemas.microsoft.com/office/drawing/2014/chart" uri="{C3380CC4-5D6E-409C-BE32-E72D297353CC}">
              <c16:uniqueId val="{00000009-D209-4EC5-AD88-A9489B7BBD06}"/>
            </c:ext>
          </c:extLst>
        </c:ser>
        <c:dLbls>
          <c:showLegendKey val="0"/>
          <c:showVal val="0"/>
          <c:showCatName val="0"/>
          <c:showSerName val="0"/>
          <c:showPercent val="0"/>
          <c:showBubbleSize val="0"/>
        </c:dLbls>
        <c:gapWidth val="6"/>
        <c:axId val="1004344912"/>
        <c:axId val="1004345872"/>
      </c:barChart>
      <c:catAx>
        <c:axId val="1004344912"/>
        <c:scaling>
          <c:orientation val="minMax"/>
        </c:scaling>
        <c:delete val="1"/>
        <c:axPos val="l"/>
        <c:numFmt formatCode="General" sourceLinked="1"/>
        <c:majorTickMark val="none"/>
        <c:minorTickMark val="none"/>
        <c:tickLblPos val="nextTo"/>
        <c:crossAx val="1004345872"/>
        <c:crosses val="autoZero"/>
        <c:auto val="1"/>
        <c:lblAlgn val="ctr"/>
        <c:lblOffset val="100"/>
        <c:noMultiLvlLbl val="0"/>
      </c:catAx>
      <c:valAx>
        <c:axId val="100434587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043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1928245811375"/>
          <c:y val="0.60141174831022226"/>
          <c:w val="0.77268077177375727"/>
          <c:h val="0.39751324266284899"/>
        </c:manualLayout>
      </c:layout>
      <c:areaChart>
        <c:grouping val="standard"/>
        <c:varyColors val="0"/>
        <c:ser>
          <c:idx val="0"/>
          <c:order val="0"/>
          <c:tx>
            <c:strRef>
              <c:f>'Pivot Report'!$F$5</c:f>
              <c:strCache>
                <c:ptCount val="1"/>
                <c:pt idx="0">
                  <c:v>Total</c:v>
                </c:pt>
              </c:strCache>
            </c:strRef>
          </c:tx>
          <c:spPr>
            <a:solidFill>
              <a:schemeClr val="accent1"/>
            </a:solidFill>
            <a:ln w="25400">
              <a:noFill/>
            </a:ln>
            <a:effectLst/>
          </c:spPr>
          <c:cat>
            <c:strRef>
              <c:f>'Pivot Report'!$E$6:$E$36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Report'!$F$6:$F$36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3-B940-4FEF-9F17-DFEFC93D0501}"/>
            </c:ext>
          </c:extLst>
        </c:ser>
        <c:dLbls>
          <c:showLegendKey val="0"/>
          <c:showVal val="0"/>
          <c:showCatName val="0"/>
          <c:showSerName val="0"/>
          <c:showPercent val="0"/>
          <c:showBubbleSize val="0"/>
        </c:dLbls>
        <c:axId val="1444079551"/>
        <c:axId val="1444077631"/>
      </c:areaChart>
      <c:catAx>
        <c:axId val="1444079551"/>
        <c:scaling>
          <c:orientation val="minMax"/>
        </c:scaling>
        <c:delete val="1"/>
        <c:axPos val="b"/>
        <c:numFmt formatCode="General" sourceLinked="1"/>
        <c:majorTickMark val="out"/>
        <c:minorTickMark val="none"/>
        <c:tickLblPos val="nextTo"/>
        <c:crossAx val="1444077631"/>
        <c:crosses val="autoZero"/>
        <c:auto val="1"/>
        <c:lblAlgn val="ctr"/>
        <c:lblOffset val="100"/>
        <c:noMultiLvlLbl val="0"/>
      </c:catAx>
      <c:valAx>
        <c:axId val="1444077631"/>
        <c:scaling>
          <c:orientation val="minMax"/>
        </c:scaling>
        <c:delete val="1"/>
        <c:axPos val="l"/>
        <c:numFmt formatCode="General" sourceLinked="1"/>
        <c:majorTickMark val="none"/>
        <c:minorTickMark val="none"/>
        <c:tickLblPos val="nextTo"/>
        <c:crossAx val="14440795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57894736842105E-2"/>
          <c:y val="0.42553191489361702"/>
          <c:w val="0.98684195725534307"/>
          <c:h val="0.55319148936170215"/>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Report'!$J$6:$J$36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3-340E-49EE-94AB-3CBA81799FCC}"/>
            </c:ext>
          </c:extLst>
        </c:ser>
        <c:dLbls>
          <c:showLegendKey val="0"/>
          <c:showVal val="0"/>
          <c:showCatName val="0"/>
          <c:showSerName val="0"/>
          <c:showPercent val="0"/>
          <c:showBubbleSize val="0"/>
        </c:dLbls>
        <c:axId val="2065132976"/>
        <c:axId val="2065149776"/>
      </c:areaChart>
      <c:catAx>
        <c:axId val="2065132976"/>
        <c:scaling>
          <c:orientation val="minMax"/>
        </c:scaling>
        <c:delete val="1"/>
        <c:axPos val="b"/>
        <c:numFmt formatCode="General" sourceLinked="1"/>
        <c:majorTickMark val="out"/>
        <c:minorTickMark val="none"/>
        <c:tickLblPos val="nextTo"/>
        <c:crossAx val="2065149776"/>
        <c:crosses val="autoZero"/>
        <c:auto val="1"/>
        <c:lblAlgn val="ctr"/>
        <c:lblOffset val="100"/>
        <c:noMultiLvlLbl val="0"/>
      </c:catAx>
      <c:valAx>
        <c:axId val="2065149776"/>
        <c:scaling>
          <c:orientation val="minMax"/>
        </c:scaling>
        <c:delete val="1"/>
        <c:axPos val="l"/>
        <c:numFmt formatCode="0.00" sourceLinked="1"/>
        <c:majorTickMark val="none"/>
        <c:minorTickMark val="none"/>
        <c:tickLblPos val="nextTo"/>
        <c:crossAx val="20651329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92592592592587E-3"/>
          <c:y val="3.2258064516129031E-2"/>
          <c:w val="0.97222222222222221"/>
          <c:h val="0.92393954787909571"/>
        </c:manualLayout>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Report'!$O$6:$O$36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3-3D59-4B7E-9395-D0776FB7CDD0}"/>
            </c:ext>
          </c:extLst>
        </c:ser>
        <c:dLbls>
          <c:showLegendKey val="0"/>
          <c:showVal val="0"/>
          <c:showCatName val="0"/>
          <c:showSerName val="0"/>
          <c:showPercent val="0"/>
          <c:showBubbleSize val="0"/>
        </c:dLbls>
        <c:axId val="1078238463"/>
        <c:axId val="1078255263"/>
      </c:areaChart>
      <c:catAx>
        <c:axId val="1078238463"/>
        <c:scaling>
          <c:orientation val="minMax"/>
        </c:scaling>
        <c:delete val="1"/>
        <c:axPos val="b"/>
        <c:numFmt formatCode="General" sourceLinked="1"/>
        <c:majorTickMark val="out"/>
        <c:minorTickMark val="none"/>
        <c:tickLblPos val="nextTo"/>
        <c:crossAx val="1078255263"/>
        <c:crosses val="autoZero"/>
        <c:auto val="1"/>
        <c:lblAlgn val="ctr"/>
        <c:lblOffset val="100"/>
        <c:noMultiLvlLbl val="0"/>
      </c:catAx>
      <c:valAx>
        <c:axId val="107825526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78238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0-19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3-EB67-47FA-98C0-7D10383E488C}"/>
            </c:ext>
          </c:extLst>
        </c:ser>
        <c:dLbls>
          <c:showLegendKey val="0"/>
          <c:showVal val="0"/>
          <c:showCatName val="0"/>
          <c:showSerName val="0"/>
          <c:showPercent val="0"/>
          <c:showBubbleSize val="0"/>
        </c:dLbls>
        <c:gapWidth val="219"/>
        <c:overlap val="-27"/>
        <c:axId val="578240336"/>
        <c:axId val="578240816"/>
      </c:barChart>
      <c:catAx>
        <c:axId val="57824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40816"/>
        <c:crosses val="autoZero"/>
        <c:auto val="1"/>
        <c:lblAlgn val="ctr"/>
        <c:lblOffset val="100"/>
        <c:noMultiLvlLbl val="0"/>
      </c:catAx>
      <c:valAx>
        <c:axId val="578240816"/>
        <c:scaling>
          <c:orientation val="minMax"/>
        </c:scaling>
        <c:delete val="1"/>
        <c:axPos val="l"/>
        <c:numFmt formatCode="0" sourceLinked="1"/>
        <c:majorTickMark val="none"/>
        <c:minorTickMark val="none"/>
        <c:tickLblPos val="nextTo"/>
        <c:crossAx val="578240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469857283464567"/>
          <c:y val="0.19709448818897637"/>
          <c:w val="0.7247237942913386"/>
          <c:h val="0.73916052326128556"/>
        </c:manualLayout>
      </c:layout>
      <c:pieChart>
        <c:varyColors val="1"/>
        <c:ser>
          <c:idx val="0"/>
          <c:order val="0"/>
          <c:tx>
            <c:strRef>
              <c:f>'Pivot Report'!$B$62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6D-4825-AC81-12C9C1D17E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6D-4825-AC81-12C9C1D17E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311</c:v>
                </c:pt>
                <c:pt idx="1">
                  <c:v>195</c:v>
                </c:pt>
              </c:numCache>
            </c:numRef>
          </c:val>
          <c:extLst>
            <c:ext xmlns:c16="http://schemas.microsoft.com/office/drawing/2014/chart" uri="{C3380CC4-5D6E-409C-BE32-E72D297353CC}">
              <c16:uniqueId val="{00000007-9085-4589-ADBD-30964719683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508021390374332"/>
          <c:y val="6.1474635342713309E-2"/>
          <c:w val="0.7743097933070866"/>
          <c:h val="0.10956363522288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361446973939973"/>
          <c:y val="0.2106742125984252"/>
          <c:w val="0.74273251408427499"/>
          <c:h val="0.69341043307086614"/>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C5-49D7-AB6D-9B7CC9718A6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C5-49D7-AB6D-9B7CC9718A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233</c:v>
                </c:pt>
                <c:pt idx="1">
                  <c:v>273</c:v>
                </c:pt>
              </c:numCache>
            </c:numRef>
          </c:val>
          <c:extLst>
            <c:ext xmlns:c16="http://schemas.microsoft.com/office/drawing/2014/chart" uri="{C3380CC4-5D6E-409C-BE32-E72D297353CC}">
              <c16:uniqueId val="{00000007-13E9-4F60-B676-F1D3A110A135}"/>
            </c:ext>
          </c:extLst>
        </c:ser>
        <c:dLbls>
          <c:showLegendKey val="0"/>
          <c:showVal val="0"/>
          <c:showCatName val="0"/>
          <c:showSerName val="0"/>
          <c:showPercent val="1"/>
          <c:showBubbleSize val="0"/>
          <c:showLeaderLines val="1"/>
        </c:dLbls>
        <c:firstSliceAng val="0"/>
        <c:holeSize val="35"/>
      </c:doughnutChart>
      <c:spPr>
        <a:noFill/>
        <a:ln>
          <a:noFill/>
        </a:ln>
        <a:effectLst>
          <a:glow rad="368300">
            <a:schemeClr val="accent1">
              <a:alpha val="40000"/>
            </a:schemeClr>
          </a:glow>
        </a:effectLst>
      </c:spPr>
    </c:plotArea>
    <c:legend>
      <c:legendPos val="r"/>
      <c:layout>
        <c:manualLayout>
          <c:xMode val="edge"/>
          <c:yMode val="edge"/>
          <c:x val="7.4913847066187852E-2"/>
          <c:y val="8.3254593175851709E-4"/>
          <c:w val="0.89160346588475603"/>
          <c:h val="0.14648622047244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Report'!$A$75:$A$83</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Report'!$B$75:$B$83</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4-1A32-485D-BBF4-C3C01A82E3CE}"/>
            </c:ext>
          </c:extLst>
        </c:ser>
        <c:dLbls>
          <c:showLegendKey val="0"/>
          <c:showVal val="0"/>
          <c:showCatName val="0"/>
          <c:showSerName val="0"/>
          <c:showPercent val="0"/>
          <c:showBubbleSize val="0"/>
        </c:dLbls>
        <c:gapWidth val="54"/>
        <c:axId val="544223664"/>
        <c:axId val="544224144"/>
      </c:barChart>
      <c:catAx>
        <c:axId val="54422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44224144"/>
        <c:crosses val="autoZero"/>
        <c:auto val="1"/>
        <c:lblAlgn val="ctr"/>
        <c:lblOffset val="100"/>
        <c:noMultiLvlLbl val="0"/>
      </c:catAx>
      <c:valAx>
        <c:axId val="544224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2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3103448275862072E-2"/>
          <c:w val="1"/>
          <c:h val="0.95619761239522483"/>
        </c:manualLayout>
      </c:layout>
      <c:areaChart>
        <c:grouping val="standard"/>
        <c:varyColors val="0"/>
        <c:ser>
          <c:idx val="0"/>
          <c:order val="0"/>
          <c:tx>
            <c:strRef>
              <c:f>'Pivot Report'!$O$5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Report'!$N$6:$N$36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Report'!$O$6:$O$36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3-182A-4A26-BC3D-C5B4E76BC7C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78238463"/>
        <c:axId val="1078255263"/>
      </c:areaChart>
      <c:catAx>
        <c:axId val="10782384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78255263"/>
        <c:crosses val="autoZero"/>
        <c:auto val="1"/>
        <c:lblAlgn val="ctr"/>
        <c:lblOffset val="100"/>
        <c:noMultiLvlLbl val="0"/>
      </c:catAx>
      <c:valAx>
        <c:axId val="107825526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8238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57875813468521E-2"/>
          <c:y val="0.44383862772302202"/>
          <c:w val="0.98684195725534307"/>
          <c:h val="0.55319148936170215"/>
        </c:manualLayout>
      </c:layout>
      <c:areaChart>
        <c:grouping val="standard"/>
        <c:varyColors val="0"/>
        <c:ser>
          <c:idx val="0"/>
          <c:order val="0"/>
          <c:tx>
            <c:strRef>
              <c:f>'Pivot Report'!$J$5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Report'!$I$6:$I$36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Report'!$J$6:$J$36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0BBE-479B-8624-CCEDB5425FA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65132976"/>
        <c:axId val="2065149776"/>
      </c:areaChart>
      <c:catAx>
        <c:axId val="20651329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65149776"/>
        <c:crosses val="autoZero"/>
        <c:auto val="1"/>
        <c:lblAlgn val="ctr"/>
        <c:lblOffset val="100"/>
        <c:noMultiLvlLbl val="0"/>
      </c:catAx>
      <c:valAx>
        <c:axId val="2065149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2065132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1884588370116E-2"/>
          <c:y val="8.9958829698971537E-2"/>
          <c:w val="0.93954663413552175"/>
          <c:h val="0.708624321959755"/>
        </c:manualLayout>
      </c:layout>
      <c:areaChart>
        <c:grouping val="standard"/>
        <c:varyColors val="0"/>
        <c:ser>
          <c:idx val="0"/>
          <c:order val="0"/>
          <c:tx>
            <c:strRef>
              <c:f>'Pivot Report'!$F$5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Report'!$E$6:$E$36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Report'!$F$6:$F$36</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F116-427B-B262-6ED1A309432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44079551"/>
        <c:axId val="1444077631"/>
      </c:areaChart>
      <c:catAx>
        <c:axId val="14440795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44077631"/>
        <c:crosses val="autoZero"/>
        <c:auto val="1"/>
        <c:lblAlgn val="ctr"/>
        <c:lblOffset val="100"/>
        <c:noMultiLvlLbl val="0"/>
      </c:catAx>
      <c:valAx>
        <c:axId val="14440776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4079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No.of patient visit area char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12700</xdr:colOff>
      <xdr:row>44</xdr:row>
      <xdr:rowOff>177800</xdr:rowOff>
    </xdr:from>
    <xdr:to>
      <xdr:col>3</xdr:col>
      <xdr:colOff>984250</xdr:colOff>
      <xdr:row>47</xdr:row>
      <xdr:rowOff>6350</xdr:rowOff>
    </xdr:to>
    <xdr:graphicFrame macro="">
      <xdr:nvGraphicFramePr>
        <xdr:cNvPr id="2" name="Chart 1">
          <a:extLst>
            <a:ext uri="{FF2B5EF4-FFF2-40B4-BE49-F238E27FC236}">
              <a16:creationId xmlns:a16="http://schemas.microsoft.com/office/drawing/2014/main" id="{93D2D5F2-1EB7-364D-8393-CE04802B1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63500</xdr:colOff>
      <xdr:row>0</xdr:row>
      <xdr:rowOff>69850</xdr:rowOff>
    </xdr:from>
    <xdr:to>
      <xdr:col>2</xdr:col>
      <xdr:colOff>63500</xdr:colOff>
      <xdr:row>2</xdr:row>
      <xdr:rowOff>127000</xdr:rowOff>
    </xdr:to>
    <xdr:sp macro="" textlink="">
      <xdr:nvSpPr>
        <xdr:cNvPr id="2" name="Rectangle: Rounded Corners 1">
          <a:extLst>
            <a:ext uri="{FF2B5EF4-FFF2-40B4-BE49-F238E27FC236}">
              <a16:creationId xmlns:a16="http://schemas.microsoft.com/office/drawing/2014/main" id="{D1047B03-DD0B-BA6C-61BE-2949DE96F72B}"/>
            </a:ext>
          </a:extLst>
        </xdr:cNvPr>
        <xdr:cNvSpPr/>
      </xdr:nvSpPr>
      <xdr:spPr>
        <a:xfrm>
          <a:off x="63500" y="69850"/>
          <a:ext cx="1219200" cy="425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133350</xdr:colOff>
      <xdr:row>0</xdr:row>
      <xdr:rowOff>76200</xdr:rowOff>
    </xdr:from>
    <xdr:to>
      <xdr:col>15</xdr:col>
      <xdr:colOff>38100</xdr:colOff>
      <xdr:row>2</xdr:row>
      <xdr:rowOff>101600</xdr:rowOff>
    </xdr:to>
    <xdr:sp macro="" textlink="">
      <xdr:nvSpPr>
        <xdr:cNvPr id="3" name="Rectangle: Rounded Corners 2">
          <a:extLst>
            <a:ext uri="{FF2B5EF4-FFF2-40B4-BE49-F238E27FC236}">
              <a16:creationId xmlns:a16="http://schemas.microsoft.com/office/drawing/2014/main" id="{4D3F8706-B17C-2CDE-FB0B-64FB137767E1}"/>
            </a:ext>
          </a:extLst>
        </xdr:cNvPr>
        <xdr:cNvSpPr/>
      </xdr:nvSpPr>
      <xdr:spPr>
        <a:xfrm>
          <a:off x="1352550" y="76200"/>
          <a:ext cx="7829550" cy="393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69850</xdr:colOff>
      <xdr:row>3</xdr:row>
      <xdr:rowOff>0</xdr:rowOff>
    </xdr:from>
    <xdr:to>
      <xdr:col>2</xdr:col>
      <xdr:colOff>63500</xdr:colOff>
      <xdr:row>25</xdr:row>
      <xdr:rowOff>50800</xdr:rowOff>
    </xdr:to>
    <xdr:sp macro="" textlink="">
      <xdr:nvSpPr>
        <xdr:cNvPr id="4" name="Rectangle: Rounded Corners 3">
          <a:extLst>
            <a:ext uri="{FF2B5EF4-FFF2-40B4-BE49-F238E27FC236}">
              <a16:creationId xmlns:a16="http://schemas.microsoft.com/office/drawing/2014/main" id="{09819F4B-E92A-B0FE-514B-758D6B194937}"/>
            </a:ext>
          </a:extLst>
        </xdr:cNvPr>
        <xdr:cNvSpPr/>
      </xdr:nvSpPr>
      <xdr:spPr>
        <a:xfrm>
          <a:off x="69850" y="552450"/>
          <a:ext cx="1212850" cy="4102100"/>
        </a:xfrm>
        <a:prstGeom prst="roundRect">
          <a:avLst>
            <a:gd name="adj" fmla="val 60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139700</xdr:colOff>
      <xdr:row>4</xdr:row>
      <xdr:rowOff>139700</xdr:rowOff>
    </xdr:from>
    <xdr:to>
      <xdr:col>9</xdr:col>
      <xdr:colOff>120650</xdr:colOff>
      <xdr:row>10</xdr:row>
      <xdr:rowOff>19050</xdr:rowOff>
    </xdr:to>
    <xdr:grpSp>
      <xdr:nvGrpSpPr>
        <xdr:cNvPr id="23" name="Group 22">
          <a:extLst>
            <a:ext uri="{FF2B5EF4-FFF2-40B4-BE49-F238E27FC236}">
              <a16:creationId xmlns:a16="http://schemas.microsoft.com/office/drawing/2014/main" id="{530CA033-D13A-C8E6-F0CD-59AA0426E0EC}"/>
            </a:ext>
          </a:extLst>
        </xdr:cNvPr>
        <xdr:cNvGrpSpPr/>
      </xdr:nvGrpSpPr>
      <xdr:grpSpPr>
        <a:xfrm>
          <a:off x="1358900" y="876300"/>
          <a:ext cx="4248150" cy="984250"/>
          <a:chOff x="2025650" y="882650"/>
          <a:chExt cx="4222750" cy="984250"/>
        </a:xfrm>
        <a:solidFill>
          <a:schemeClr val="bg1"/>
        </a:solidFill>
      </xdr:grpSpPr>
      <xdr:grpSp>
        <xdr:nvGrpSpPr>
          <xdr:cNvPr id="22" name="Group 21">
            <a:extLst>
              <a:ext uri="{FF2B5EF4-FFF2-40B4-BE49-F238E27FC236}">
                <a16:creationId xmlns:a16="http://schemas.microsoft.com/office/drawing/2014/main" id="{CA3678A7-200E-89AA-7735-1AC8A1F755F4}"/>
              </a:ext>
            </a:extLst>
          </xdr:cNvPr>
          <xdr:cNvGrpSpPr/>
        </xdr:nvGrpSpPr>
        <xdr:grpSpPr>
          <a:xfrm>
            <a:off x="2025650" y="895350"/>
            <a:ext cx="2794000" cy="971550"/>
            <a:chOff x="2025650" y="895350"/>
            <a:chExt cx="2794000" cy="971550"/>
          </a:xfrm>
          <a:grpFill/>
        </xdr:grpSpPr>
        <xdr:sp macro="" textlink="">
          <xdr:nvSpPr>
            <xdr:cNvPr id="10" name="Rectangle: Rounded Corners 9">
              <a:extLst>
                <a:ext uri="{FF2B5EF4-FFF2-40B4-BE49-F238E27FC236}">
                  <a16:creationId xmlns:a16="http://schemas.microsoft.com/office/drawing/2014/main" id="{ACA26E6C-32AE-AB18-E7D2-8DE65D058CA1}"/>
                </a:ext>
              </a:extLst>
            </xdr:cNvPr>
            <xdr:cNvSpPr/>
          </xdr:nvSpPr>
          <xdr:spPr>
            <a:xfrm>
              <a:off x="2025650" y="895350"/>
              <a:ext cx="1377950" cy="971550"/>
            </a:xfrm>
            <a:prstGeom prst="roundRect">
              <a:avLst>
                <a:gd name="adj" fmla="val 5556"/>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5" name="Rectangle: Rounded Corners 14">
              <a:extLst>
                <a:ext uri="{FF2B5EF4-FFF2-40B4-BE49-F238E27FC236}">
                  <a16:creationId xmlns:a16="http://schemas.microsoft.com/office/drawing/2014/main" id="{4DA02818-0843-F590-132B-08A6FB82D7A7}"/>
                </a:ext>
              </a:extLst>
            </xdr:cNvPr>
            <xdr:cNvSpPr/>
          </xdr:nvSpPr>
          <xdr:spPr>
            <a:xfrm>
              <a:off x="3441700" y="895350"/>
              <a:ext cx="1377950" cy="971550"/>
            </a:xfrm>
            <a:prstGeom prst="roundRect">
              <a:avLst>
                <a:gd name="adj" fmla="val 359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grpSp>
      <xdr:sp macro="" textlink="">
        <xdr:nvSpPr>
          <xdr:cNvPr id="16" name="Rectangle: Rounded Corners 15">
            <a:extLst>
              <a:ext uri="{FF2B5EF4-FFF2-40B4-BE49-F238E27FC236}">
                <a16:creationId xmlns:a16="http://schemas.microsoft.com/office/drawing/2014/main" id="{D2BBA858-CB02-9C50-4AAD-B4E09C447B87}"/>
              </a:ext>
            </a:extLst>
          </xdr:cNvPr>
          <xdr:cNvSpPr/>
        </xdr:nvSpPr>
        <xdr:spPr>
          <a:xfrm>
            <a:off x="4870450" y="882650"/>
            <a:ext cx="1377950" cy="971550"/>
          </a:xfrm>
          <a:prstGeom prst="roundRect">
            <a:avLst>
              <a:gd name="adj" fmla="val 3595"/>
            </a:avLst>
          </a:prstGeom>
          <a:solidFill>
            <a:schemeClr val="tx2">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grpSp>
    <xdr:clientData/>
  </xdr:twoCellAnchor>
  <xdr:twoCellAnchor editAs="absolute">
    <xdr:from>
      <xdr:col>9</xdr:col>
      <xdr:colOff>438150</xdr:colOff>
      <xdr:row>4</xdr:row>
      <xdr:rowOff>152400</xdr:rowOff>
    </xdr:from>
    <xdr:to>
      <xdr:col>12</xdr:col>
      <xdr:colOff>241300</xdr:colOff>
      <xdr:row>13</xdr:row>
      <xdr:rowOff>158750</xdr:rowOff>
    </xdr:to>
    <xdr:sp macro="" textlink="">
      <xdr:nvSpPr>
        <xdr:cNvPr id="17" name="Rectangle: Rounded Corners 16">
          <a:extLst>
            <a:ext uri="{FF2B5EF4-FFF2-40B4-BE49-F238E27FC236}">
              <a16:creationId xmlns:a16="http://schemas.microsoft.com/office/drawing/2014/main" id="{229DA5A6-283F-3957-1771-44A4C975CF2E}"/>
            </a:ext>
          </a:extLst>
        </xdr:cNvPr>
        <xdr:cNvSpPr/>
      </xdr:nvSpPr>
      <xdr:spPr>
        <a:xfrm>
          <a:off x="5924550" y="889000"/>
          <a:ext cx="1631950" cy="1663700"/>
        </a:xfrm>
        <a:prstGeom prst="roundRect">
          <a:avLst>
            <a:gd name="adj" fmla="val 85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317500</xdr:colOff>
      <xdr:row>4</xdr:row>
      <xdr:rowOff>158750</xdr:rowOff>
    </xdr:from>
    <xdr:to>
      <xdr:col>15</xdr:col>
      <xdr:colOff>50800</xdr:colOff>
      <xdr:row>13</xdr:row>
      <xdr:rowOff>165100</xdr:rowOff>
    </xdr:to>
    <xdr:sp macro="" textlink="">
      <xdr:nvSpPr>
        <xdr:cNvPr id="18" name="Rectangle: Rounded Corners 17">
          <a:extLst>
            <a:ext uri="{FF2B5EF4-FFF2-40B4-BE49-F238E27FC236}">
              <a16:creationId xmlns:a16="http://schemas.microsoft.com/office/drawing/2014/main" id="{0FB572E1-1D45-CDB5-5361-5F5F404E2B8C}"/>
            </a:ext>
          </a:extLst>
        </xdr:cNvPr>
        <xdr:cNvSpPr/>
      </xdr:nvSpPr>
      <xdr:spPr>
        <a:xfrm>
          <a:off x="7632700" y="895350"/>
          <a:ext cx="1562100" cy="1663700"/>
        </a:xfrm>
        <a:prstGeom prst="roundRect">
          <a:avLst>
            <a:gd name="adj" fmla="val 100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9</xdr:col>
      <xdr:colOff>438150</xdr:colOff>
      <xdr:row>14</xdr:row>
      <xdr:rowOff>31750</xdr:rowOff>
    </xdr:from>
    <xdr:to>
      <xdr:col>15</xdr:col>
      <xdr:colOff>50800</xdr:colOff>
      <xdr:row>25</xdr:row>
      <xdr:rowOff>31750</xdr:rowOff>
    </xdr:to>
    <xdr:sp macro="" textlink="">
      <xdr:nvSpPr>
        <xdr:cNvPr id="19" name="Rectangle: Rounded Corners 18">
          <a:extLst>
            <a:ext uri="{FF2B5EF4-FFF2-40B4-BE49-F238E27FC236}">
              <a16:creationId xmlns:a16="http://schemas.microsoft.com/office/drawing/2014/main" id="{9DCEA8B0-059B-AC10-62B6-296038CE16AF}"/>
            </a:ext>
          </a:extLst>
        </xdr:cNvPr>
        <xdr:cNvSpPr/>
      </xdr:nvSpPr>
      <xdr:spPr>
        <a:xfrm>
          <a:off x="5924550" y="2609850"/>
          <a:ext cx="3270250" cy="2025650"/>
        </a:xfrm>
        <a:prstGeom prst="roundRect">
          <a:avLst>
            <a:gd name="adj" fmla="val 854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133350</xdr:colOff>
      <xdr:row>10</xdr:row>
      <xdr:rowOff>69850</xdr:rowOff>
    </xdr:from>
    <xdr:to>
      <xdr:col>9</xdr:col>
      <xdr:colOff>107950</xdr:colOff>
      <xdr:row>14</xdr:row>
      <xdr:rowOff>146050</xdr:rowOff>
    </xdr:to>
    <xdr:sp macro="" textlink="">
      <xdr:nvSpPr>
        <xdr:cNvPr id="20" name="Rectangle: Rounded Corners 19">
          <a:extLst>
            <a:ext uri="{FF2B5EF4-FFF2-40B4-BE49-F238E27FC236}">
              <a16:creationId xmlns:a16="http://schemas.microsoft.com/office/drawing/2014/main" id="{4EA31BF7-174C-457C-8871-10252EDFC17B}"/>
            </a:ext>
          </a:extLst>
        </xdr:cNvPr>
        <xdr:cNvSpPr/>
      </xdr:nvSpPr>
      <xdr:spPr>
        <a:xfrm>
          <a:off x="1352550" y="1911350"/>
          <a:ext cx="4241800" cy="812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127000</xdr:colOff>
      <xdr:row>15</xdr:row>
      <xdr:rowOff>25400</xdr:rowOff>
    </xdr:from>
    <xdr:to>
      <xdr:col>9</xdr:col>
      <xdr:colOff>101600</xdr:colOff>
      <xdr:row>25</xdr:row>
      <xdr:rowOff>6350</xdr:rowOff>
    </xdr:to>
    <xdr:sp macro="" textlink="">
      <xdr:nvSpPr>
        <xdr:cNvPr id="21" name="Rectangle: Rounded Corners 20">
          <a:extLst>
            <a:ext uri="{FF2B5EF4-FFF2-40B4-BE49-F238E27FC236}">
              <a16:creationId xmlns:a16="http://schemas.microsoft.com/office/drawing/2014/main" id="{3FC1B461-CE6F-4B7D-A246-E2D74958F030}"/>
            </a:ext>
          </a:extLst>
        </xdr:cNvPr>
        <xdr:cNvSpPr/>
      </xdr:nvSpPr>
      <xdr:spPr>
        <a:xfrm>
          <a:off x="1346200" y="2787650"/>
          <a:ext cx="4241800" cy="1822450"/>
        </a:xfrm>
        <a:prstGeom prst="roundRect">
          <a:avLst>
            <a:gd name="adj" fmla="val 91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114300</xdr:colOff>
      <xdr:row>0</xdr:row>
      <xdr:rowOff>82550</xdr:rowOff>
    </xdr:from>
    <xdr:to>
      <xdr:col>15</xdr:col>
      <xdr:colOff>25400</xdr:colOff>
      <xdr:row>2</xdr:row>
      <xdr:rowOff>88900</xdr:rowOff>
    </xdr:to>
    <xdr:sp macro="" textlink="">
      <xdr:nvSpPr>
        <xdr:cNvPr id="24" name="TextBox 23">
          <a:extLst>
            <a:ext uri="{FF2B5EF4-FFF2-40B4-BE49-F238E27FC236}">
              <a16:creationId xmlns:a16="http://schemas.microsoft.com/office/drawing/2014/main" id="{F3C6A074-CF2D-5F90-7EBC-5DB463F51FE8}"/>
            </a:ext>
          </a:extLst>
        </xdr:cNvPr>
        <xdr:cNvSpPr txBox="1"/>
      </xdr:nvSpPr>
      <xdr:spPr>
        <a:xfrm>
          <a:off x="1943100" y="82550"/>
          <a:ext cx="72263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1">
              <a:solidFill>
                <a:schemeClr val="bg1"/>
              </a:solidFill>
            </a:rPr>
            <a:t>HOSPITAL</a:t>
          </a:r>
          <a:r>
            <a:rPr lang="en-IN" sz="2000" b="1" baseline="0">
              <a:solidFill>
                <a:schemeClr val="bg1"/>
              </a:solidFill>
            </a:rPr>
            <a:t> EMERGENCY ROOM </a:t>
          </a:r>
          <a:endParaRPr lang="en-IN" sz="2000" b="1">
            <a:solidFill>
              <a:schemeClr val="bg1"/>
            </a:solidFill>
          </a:endParaRPr>
        </a:p>
      </xdr:txBody>
    </xdr:sp>
    <xdr:clientData/>
  </xdr:twoCellAnchor>
  <xdr:twoCellAnchor editAs="absolute">
    <xdr:from>
      <xdr:col>0</xdr:col>
      <xdr:colOff>207469</xdr:colOff>
      <xdr:row>0</xdr:row>
      <xdr:rowOff>12700</xdr:rowOff>
    </xdr:from>
    <xdr:to>
      <xdr:col>1</xdr:col>
      <xdr:colOff>527051</xdr:colOff>
      <xdr:row>3</xdr:row>
      <xdr:rowOff>132</xdr:rowOff>
    </xdr:to>
    <xdr:pic>
      <xdr:nvPicPr>
        <xdr:cNvPr id="7" name="Picture 6">
          <a:extLst>
            <a:ext uri="{FF2B5EF4-FFF2-40B4-BE49-F238E27FC236}">
              <a16:creationId xmlns:a16="http://schemas.microsoft.com/office/drawing/2014/main" id="{4B6FB261-1E90-40CC-FD65-6A6F010B78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7469" y="12700"/>
          <a:ext cx="929182" cy="539882"/>
        </a:xfrm>
        <a:prstGeom prst="rect">
          <a:avLst/>
        </a:prstGeom>
      </xdr:spPr>
    </xdr:pic>
    <xdr:clientData/>
  </xdr:twoCellAnchor>
  <xdr:twoCellAnchor editAs="absolute">
    <xdr:from>
      <xdr:col>2</xdr:col>
      <xdr:colOff>120650</xdr:colOff>
      <xdr:row>5</xdr:row>
      <xdr:rowOff>95250</xdr:rowOff>
    </xdr:from>
    <xdr:to>
      <xdr:col>4</xdr:col>
      <xdr:colOff>241300</xdr:colOff>
      <xdr:row>7</xdr:row>
      <xdr:rowOff>101600</xdr:rowOff>
    </xdr:to>
    <xdr:sp macro="" textlink="'Pivot Report'!A6">
      <xdr:nvSpPr>
        <xdr:cNvPr id="11" name="TextBox 10">
          <a:extLst>
            <a:ext uri="{FF2B5EF4-FFF2-40B4-BE49-F238E27FC236}">
              <a16:creationId xmlns:a16="http://schemas.microsoft.com/office/drawing/2014/main" id="{6FE35A84-4CC8-4BA4-A4A4-CD8BD5CF1AEA}"/>
            </a:ext>
          </a:extLst>
        </xdr:cNvPr>
        <xdr:cNvSpPr txBox="1"/>
      </xdr:nvSpPr>
      <xdr:spPr>
        <a:xfrm>
          <a:off x="1339850" y="10160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ACEDAEF-074B-4639-AAFA-7E8698135FC5}" type="TxLink">
            <a:rPr lang="en-US" sz="1800" b="1" i="0" u="none" strike="noStrike">
              <a:solidFill>
                <a:schemeClr val="tx1"/>
              </a:solidFill>
              <a:latin typeface="Calibri"/>
              <a:ea typeface="Calibri"/>
              <a:cs typeface="Calibri"/>
            </a:rPr>
            <a:pPr algn="ctr"/>
            <a:t>506</a:t>
          </a:fld>
          <a:endParaRPr lang="en-IN" sz="1800" b="1">
            <a:solidFill>
              <a:schemeClr val="tx1"/>
            </a:solidFill>
          </a:endParaRPr>
        </a:p>
      </xdr:txBody>
    </xdr:sp>
    <xdr:clientData/>
  </xdr:twoCellAnchor>
  <xdr:twoCellAnchor editAs="absolute">
    <xdr:from>
      <xdr:col>2</xdr:col>
      <xdr:colOff>158750</xdr:colOff>
      <xdr:row>6</xdr:row>
      <xdr:rowOff>101600</xdr:rowOff>
    </xdr:from>
    <xdr:to>
      <xdr:col>4</xdr:col>
      <xdr:colOff>279400</xdr:colOff>
      <xdr:row>8</xdr:row>
      <xdr:rowOff>107950</xdr:rowOff>
    </xdr:to>
    <xdr:sp macro="" textlink="'Pivot Report'!A6">
      <xdr:nvSpPr>
        <xdr:cNvPr id="12" name="TextBox 11">
          <a:extLst>
            <a:ext uri="{FF2B5EF4-FFF2-40B4-BE49-F238E27FC236}">
              <a16:creationId xmlns:a16="http://schemas.microsoft.com/office/drawing/2014/main" id="{91BFB96A-F829-33B3-35E7-8C6B775E9406}"/>
            </a:ext>
          </a:extLst>
        </xdr:cNvPr>
        <xdr:cNvSpPr txBox="1"/>
      </xdr:nvSpPr>
      <xdr:spPr>
        <a:xfrm>
          <a:off x="1377950" y="12065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solidFill>
                <a:schemeClr val="tx1"/>
              </a:solidFill>
            </a:rPr>
            <a:t>No.</a:t>
          </a:r>
          <a:r>
            <a:rPr lang="en-IN" sz="1000" b="0" baseline="0">
              <a:solidFill>
                <a:schemeClr val="tx1"/>
              </a:solidFill>
            </a:rPr>
            <a:t> of Patient</a:t>
          </a:r>
          <a:endParaRPr lang="en-IN" sz="1000" b="0">
            <a:solidFill>
              <a:schemeClr val="tx1"/>
            </a:solidFill>
          </a:endParaRPr>
        </a:p>
      </xdr:txBody>
    </xdr:sp>
    <xdr:clientData/>
  </xdr:twoCellAnchor>
  <xdr:twoCellAnchor editAs="absolute">
    <xdr:from>
      <xdr:col>4</xdr:col>
      <xdr:colOff>349250</xdr:colOff>
      <xdr:row>5</xdr:row>
      <xdr:rowOff>57150</xdr:rowOff>
    </xdr:from>
    <xdr:to>
      <xdr:col>6</xdr:col>
      <xdr:colOff>469900</xdr:colOff>
      <xdr:row>7</xdr:row>
      <xdr:rowOff>63500</xdr:rowOff>
    </xdr:to>
    <xdr:sp macro="" textlink="'Pivot Report'!A11">
      <xdr:nvSpPr>
        <xdr:cNvPr id="13" name="TextBox 12">
          <a:extLst>
            <a:ext uri="{FF2B5EF4-FFF2-40B4-BE49-F238E27FC236}">
              <a16:creationId xmlns:a16="http://schemas.microsoft.com/office/drawing/2014/main" id="{7791A8AF-690E-F5D4-980E-D0FAAEEBB7CC}"/>
            </a:ext>
          </a:extLst>
        </xdr:cNvPr>
        <xdr:cNvSpPr txBox="1"/>
      </xdr:nvSpPr>
      <xdr:spPr>
        <a:xfrm>
          <a:off x="2787650" y="9779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77E350B-8E67-4B23-825E-EB837E95C17E}" type="TxLink">
            <a:rPr lang="en-US" sz="1800" b="1" i="0" u="none" strike="noStrike">
              <a:solidFill>
                <a:srgbClr val="000000"/>
              </a:solidFill>
              <a:latin typeface="Calibri"/>
              <a:ea typeface="Calibri"/>
              <a:cs typeface="Calibri"/>
            </a:rPr>
            <a:pPr algn="ctr"/>
            <a:t>35.58</a:t>
          </a:fld>
          <a:endParaRPr lang="en-IN" sz="1800" b="1">
            <a:solidFill>
              <a:schemeClr val="tx1"/>
            </a:solidFill>
          </a:endParaRPr>
        </a:p>
      </xdr:txBody>
    </xdr:sp>
    <xdr:clientData/>
  </xdr:twoCellAnchor>
  <xdr:twoCellAnchor editAs="absolute">
    <xdr:from>
      <xdr:col>4</xdr:col>
      <xdr:colOff>406400</xdr:colOff>
      <xdr:row>6</xdr:row>
      <xdr:rowOff>82550</xdr:rowOff>
    </xdr:from>
    <xdr:to>
      <xdr:col>6</xdr:col>
      <xdr:colOff>527050</xdr:colOff>
      <xdr:row>8</xdr:row>
      <xdr:rowOff>88900</xdr:rowOff>
    </xdr:to>
    <xdr:sp macro="" textlink="'Pivot Report'!A6">
      <xdr:nvSpPr>
        <xdr:cNvPr id="14" name="TextBox 13">
          <a:extLst>
            <a:ext uri="{FF2B5EF4-FFF2-40B4-BE49-F238E27FC236}">
              <a16:creationId xmlns:a16="http://schemas.microsoft.com/office/drawing/2014/main" id="{D880E715-76D7-34CB-F51E-4EF4C06FCE69}"/>
            </a:ext>
          </a:extLst>
        </xdr:cNvPr>
        <xdr:cNvSpPr txBox="1"/>
      </xdr:nvSpPr>
      <xdr:spPr>
        <a:xfrm>
          <a:off x="2844800" y="118745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solidFill>
                <a:schemeClr val="tx1"/>
              </a:solidFill>
            </a:rPr>
            <a:t>Average</a:t>
          </a:r>
          <a:r>
            <a:rPr lang="en-IN" sz="1000" b="0" baseline="0">
              <a:solidFill>
                <a:schemeClr val="tx1"/>
              </a:solidFill>
            </a:rPr>
            <a:t> Wait Time</a:t>
          </a:r>
          <a:endParaRPr lang="en-IN" sz="1000" b="0">
            <a:solidFill>
              <a:schemeClr val="tx1"/>
            </a:solidFill>
          </a:endParaRPr>
        </a:p>
      </xdr:txBody>
    </xdr:sp>
    <xdr:clientData/>
  </xdr:twoCellAnchor>
  <xdr:twoCellAnchor editAs="absolute">
    <xdr:from>
      <xdr:col>6</xdr:col>
      <xdr:colOff>565150</xdr:colOff>
      <xdr:row>5</xdr:row>
      <xdr:rowOff>31750</xdr:rowOff>
    </xdr:from>
    <xdr:to>
      <xdr:col>9</xdr:col>
      <xdr:colOff>76200</xdr:colOff>
      <xdr:row>7</xdr:row>
      <xdr:rowOff>38100</xdr:rowOff>
    </xdr:to>
    <xdr:sp macro="" textlink="'Pivot Report'!A15">
      <xdr:nvSpPr>
        <xdr:cNvPr id="25" name="TextBox 24">
          <a:extLst>
            <a:ext uri="{FF2B5EF4-FFF2-40B4-BE49-F238E27FC236}">
              <a16:creationId xmlns:a16="http://schemas.microsoft.com/office/drawing/2014/main" id="{4AF96DCF-7C72-4C5C-BCF4-BFB243E09CB1}"/>
            </a:ext>
          </a:extLst>
        </xdr:cNvPr>
        <xdr:cNvSpPr txBox="1"/>
      </xdr:nvSpPr>
      <xdr:spPr>
        <a:xfrm>
          <a:off x="4222750" y="9525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5DB0350-4F52-4DB1-9919-66C40CEFABD9}" type="TxLink">
            <a:rPr lang="en-US" sz="1800" b="1" i="0" u="none" strike="noStrike">
              <a:solidFill>
                <a:srgbClr val="000000"/>
              </a:solidFill>
              <a:latin typeface="Calibri"/>
              <a:ea typeface="Calibri"/>
              <a:cs typeface="Calibri"/>
            </a:rPr>
            <a:pPr algn="ctr"/>
            <a:t>5.18</a:t>
          </a:fld>
          <a:endParaRPr lang="en-IN" sz="1800" b="1">
            <a:solidFill>
              <a:schemeClr val="tx1"/>
            </a:solidFill>
          </a:endParaRPr>
        </a:p>
      </xdr:txBody>
    </xdr:sp>
    <xdr:clientData/>
  </xdr:twoCellAnchor>
  <xdr:twoCellAnchor editAs="absolute">
    <xdr:from>
      <xdr:col>6</xdr:col>
      <xdr:colOff>590550</xdr:colOff>
      <xdr:row>6</xdr:row>
      <xdr:rowOff>101600</xdr:rowOff>
    </xdr:from>
    <xdr:to>
      <xdr:col>9</xdr:col>
      <xdr:colOff>101600</xdr:colOff>
      <xdr:row>8</xdr:row>
      <xdr:rowOff>107950</xdr:rowOff>
    </xdr:to>
    <xdr:sp macro="" textlink="'Pivot Report'!A6">
      <xdr:nvSpPr>
        <xdr:cNvPr id="27" name="TextBox 26">
          <a:extLst>
            <a:ext uri="{FF2B5EF4-FFF2-40B4-BE49-F238E27FC236}">
              <a16:creationId xmlns:a16="http://schemas.microsoft.com/office/drawing/2014/main" id="{FF86B1D6-8611-1E6B-2C3A-66D69947F728}"/>
            </a:ext>
          </a:extLst>
        </xdr:cNvPr>
        <xdr:cNvSpPr txBox="1"/>
      </xdr:nvSpPr>
      <xdr:spPr>
        <a:xfrm>
          <a:off x="4248150" y="12065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u="none">
              <a:solidFill>
                <a:schemeClr val="tx1"/>
              </a:solidFill>
            </a:rPr>
            <a:t>Patient</a:t>
          </a:r>
          <a:r>
            <a:rPr lang="en-IN" sz="1000" b="0" u="none" baseline="0">
              <a:solidFill>
                <a:schemeClr val="tx1"/>
              </a:solidFill>
            </a:rPr>
            <a:t> Satisfaction Score</a:t>
          </a:r>
          <a:endParaRPr lang="en-IN" sz="1000" b="0" u="none">
            <a:solidFill>
              <a:schemeClr val="tx1"/>
            </a:solidFill>
          </a:endParaRPr>
        </a:p>
      </xdr:txBody>
    </xdr:sp>
    <xdr:clientData/>
  </xdr:twoCellAnchor>
  <xdr:twoCellAnchor editAs="oneCell">
    <xdr:from>
      <xdr:col>0</xdr:col>
      <xdr:colOff>127000</xdr:colOff>
      <xdr:row>3</xdr:row>
      <xdr:rowOff>6350</xdr:rowOff>
    </xdr:from>
    <xdr:to>
      <xdr:col>1</xdr:col>
      <xdr:colOff>588850</xdr:colOff>
      <xdr:row>24</xdr:row>
      <xdr:rowOff>177800</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B5C3D46F-D593-4316-B238-97C6FB84A77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0" y="558800"/>
              <a:ext cx="1071450" cy="403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330200</xdr:colOff>
      <xdr:row>4</xdr:row>
      <xdr:rowOff>82550</xdr:rowOff>
    </xdr:from>
    <xdr:to>
      <xdr:col>4</xdr:col>
      <xdr:colOff>311150</xdr:colOff>
      <xdr:row>10</xdr:row>
      <xdr:rowOff>25400</xdr:rowOff>
    </xdr:to>
    <xdr:graphicFrame macro="">
      <xdr:nvGraphicFramePr>
        <xdr:cNvPr id="26" name="Chart 25">
          <a:hlinkClick xmlns:r="http://schemas.openxmlformats.org/officeDocument/2006/relationships" r:id="rId2"/>
          <a:extLst>
            <a:ext uri="{FF2B5EF4-FFF2-40B4-BE49-F238E27FC236}">
              <a16:creationId xmlns:a16="http://schemas.microsoft.com/office/drawing/2014/main" id="{544F9631-326D-4E5C-881C-1FE83ACB6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577850</xdr:colOff>
      <xdr:row>5</xdr:row>
      <xdr:rowOff>82550</xdr:rowOff>
    </xdr:from>
    <xdr:to>
      <xdr:col>4</xdr:col>
      <xdr:colOff>336550</xdr:colOff>
      <xdr:row>7</xdr:row>
      <xdr:rowOff>82550</xdr:rowOff>
    </xdr:to>
    <xdr:pic>
      <xdr:nvPicPr>
        <xdr:cNvPr id="30" name="Graphic 29" descr="Man">
          <a:extLst>
            <a:ext uri="{FF2B5EF4-FFF2-40B4-BE49-F238E27FC236}">
              <a16:creationId xmlns:a16="http://schemas.microsoft.com/office/drawing/2014/main" id="{4337E71F-E724-C1FC-4280-A62837C232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06650" y="1003300"/>
          <a:ext cx="368300" cy="368300"/>
        </a:xfrm>
        <a:prstGeom prst="rect">
          <a:avLst/>
        </a:prstGeom>
      </xdr:spPr>
    </xdr:pic>
    <xdr:clientData/>
  </xdr:twoCellAnchor>
  <xdr:twoCellAnchor editAs="oneCell">
    <xdr:from>
      <xdr:col>6</xdr:col>
      <xdr:colOff>203200</xdr:colOff>
      <xdr:row>5</xdr:row>
      <xdr:rowOff>86404</xdr:rowOff>
    </xdr:from>
    <xdr:to>
      <xdr:col>6</xdr:col>
      <xdr:colOff>476250</xdr:colOff>
      <xdr:row>6</xdr:row>
      <xdr:rowOff>146049</xdr:rowOff>
    </xdr:to>
    <xdr:pic>
      <xdr:nvPicPr>
        <xdr:cNvPr id="32" name="Graphic 31" descr="Clock">
          <a:extLst>
            <a:ext uri="{FF2B5EF4-FFF2-40B4-BE49-F238E27FC236}">
              <a16:creationId xmlns:a16="http://schemas.microsoft.com/office/drawing/2014/main" id="{46E77AD1-D429-A2CE-C61C-A34F9AF349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60800" y="1007154"/>
          <a:ext cx="273050" cy="243795"/>
        </a:xfrm>
        <a:prstGeom prst="rect">
          <a:avLst/>
        </a:prstGeom>
      </xdr:spPr>
    </xdr:pic>
    <xdr:clientData/>
  </xdr:twoCellAnchor>
  <xdr:twoCellAnchor editAs="oneCell">
    <xdr:from>
      <xdr:col>8</xdr:col>
      <xdr:colOff>368300</xdr:colOff>
      <xdr:row>5</xdr:row>
      <xdr:rowOff>69850</xdr:rowOff>
    </xdr:from>
    <xdr:to>
      <xdr:col>9</xdr:col>
      <xdr:colOff>50800</xdr:colOff>
      <xdr:row>6</xdr:row>
      <xdr:rowOff>177800</xdr:rowOff>
    </xdr:to>
    <xdr:pic>
      <xdr:nvPicPr>
        <xdr:cNvPr id="34" name="Graphic 33" descr="Star">
          <a:extLst>
            <a:ext uri="{FF2B5EF4-FFF2-40B4-BE49-F238E27FC236}">
              <a16:creationId xmlns:a16="http://schemas.microsoft.com/office/drawing/2014/main" id="{C1C9529A-C6FC-6E2C-F0E8-445257863FF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45100" y="990600"/>
          <a:ext cx="292100" cy="292100"/>
        </a:xfrm>
        <a:prstGeom prst="rect">
          <a:avLst/>
        </a:prstGeom>
      </xdr:spPr>
    </xdr:pic>
    <xdr:clientData/>
  </xdr:twoCellAnchor>
  <xdr:twoCellAnchor>
    <xdr:from>
      <xdr:col>4</xdr:col>
      <xdr:colOff>311150</xdr:colOff>
      <xdr:row>6</xdr:row>
      <xdr:rowOff>177800</xdr:rowOff>
    </xdr:from>
    <xdr:to>
      <xdr:col>6</xdr:col>
      <xdr:colOff>514350</xdr:colOff>
      <xdr:row>10</xdr:row>
      <xdr:rowOff>38100</xdr:rowOff>
    </xdr:to>
    <xdr:graphicFrame macro="">
      <xdr:nvGraphicFramePr>
        <xdr:cNvPr id="8" name="Chart 7">
          <a:hlinkClick xmlns:r="http://schemas.openxmlformats.org/officeDocument/2006/relationships" r:id="rId10"/>
          <a:extLst>
            <a:ext uri="{FF2B5EF4-FFF2-40B4-BE49-F238E27FC236}">
              <a16:creationId xmlns:a16="http://schemas.microsoft.com/office/drawing/2014/main" id="{FC0B526C-E853-465B-8274-2DCB2BD75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565150</xdr:colOff>
      <xdr:row>7</xdr:row>
      <xdr:rowOff>177800</xdr:rowOff>
    </xdr:from>
    <xdr:to>
      <xdr:col>9</xdr:col>
      <xdr:colOff>107950</xdr:colOff>
      <xdr:row>10</xdr:row>
      <xdr:rowOff>19050</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46EE8561-F4E1-401A-B673-D86953D39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139699</xdr:colOff>
          <xdr:row>10</xdr:row>
          <xdr:rowOff>82550</xdr:rowOff>
        </xdr:from>
        <xdr:to>
          <xdr:col>9</xdr:col>
          <xdr:colOff>98712</xdr:colOff>
          <xdr:row>14</xdr:row>
          <xdr:rowOff>133350</xdr:rowOff>
        </xdr:to>
        <xdr:pic>
          <xdr:nvPicPr>
            <xdr:cNvPr id="39" name="Picture 38">
              <a:extLst>
                <a:ext uri="{FF2B5EF4-FFF2-40B4-BE49-F238E27FC236}">
                  <a16:creationId xmlns:a16="http://schemas.microsoft.com/office/drawing/2014/main" id="{84D0815A-27FB-AAD2-A88E-A2825D517E15}"/>
                </a:ext>
              </a:extLst>
            </xdr:cNvPr>
            <xdr:cNvPicPr>
              <a:picLocks noChangeAspect="1" noChangeArrowheads="1"/>
              <a:extLst>
                <a:ext uri="{84589F7E-364E-4C9E-8A38-B11213B215E9}">
                  <a14:cameraTool cellRange="'Pivot Report'!$A$45:$D$47" spid="_x0000_s2130"/>
                </a:ext>
              </a:extLst>
            </xdr:cNvPicPr>
          </xdr:nvPicPr>
          <xdr:blipFill>
            <a:blip xmlns:r="http://schemas.openxmlformats.org/officeDocument/2006/relationships" r:embed="rId14"/>
            <a:srcRect/>
            <a:stretch>
              <a:fillRect/>
            </a:stretch>
          </xdr:blipFill>
          <xdr:spPr bwMode="auto">
            <a:xfrm>
              <a:off x="1358899" y="1924050"/>
              <a:ext cx="4226213" cy="7874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127000</xdr:colOff>
      <xdr:row>15</xdr:row>
      <xdr:rowOff>38100</xdr:rowOff>
    </xdr:from>
    <xdr:to>
      <xdr:col>9</xdr:col>
      <xdr:colOff>50800</xdr:colOff>
      <xdr:row>23</xdr:row>
      <xdr:rowOff>171450</xdr:rowOff>
    </xdr:to>
    <xdr:graphicFrame macro="">
      <xdr:nvGraphicFramePr>
        <xdr:cNvPr id="40" name="Chart 39">
          <a:extLst>
            <a:ext uri="{FF2B5EF4-FFF2-40B4-BE49-F238E27FC236}">
              <a16:creationId xmlns:a16="http://schemas.microsoft.com/office/drawing/2014/main" id="{C8D8B226-E6EA-4708-B722-6FC3B97F9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139700</xdr:colOff>
      <xdr:row>23</xdr:row>
      <xdr:rowOff>50800</xdr:rowOff>
    </xdr:from>
    <xdr:to>
      <xdr:col>7</xdr:col>
      <xdr:colOff>38100</xdr:colOff>
      <xdr:row>25</xdr:row>
      <xdr:rowOff>57150</xdr:rowOff>
    </xdr:to>
    <xdr:sp macro="" textlink="'Pivot Report'!A6">
      <xdr:nvSpPr>
        <xdr:cNvPr id="41" name="TextBox 40">
          <a:extLst>
            <a:ext uri="{FF2B5EF4-FFF2-40B4-BE49-F238E27FC236}">
              <a16:creationId xmlns:a16="http://schemas.microsoft.com/office/drawing/2014/main" id="{EC2E4A53-FB30-4410-9C8E-3A605575B685}"/>
            </a:ext>
          </a:extLst>
        </xdr:cNvPr>
        <xdr:cNvSpPr txBox="1"/>
      </xdr:nvSpPr>
      <xdr:spPr>
        <a:xfrm>
          <a:off x="2578100" y="4286250"/>
          <a:ext cx="1727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solidFill>
                <a:schemeClr val="tx1"/>
              </a:solidFill>
            </a:rPr>
            <a:t>No.</a:t>
          </a:r>
          <a:r>
            <a:rPr lang="en-IN" sz="1000" b="0" baseline="0">
              <a:solidFill>
                <a:schemeClr val="tx1"/>
              </a:solidFill>
            </a:rPr>
            <a:t> of Patient by Age Group</a:t>
          </a:r>
          <a:endParaRPr lang="en-IN" sz="1000" b="0">
            <a:solidFill>
              <a:schemeClr val="tx1"/>
            </a:solidFill>
          </a:endParaRPr>
        </a:p>
      </xdr:txBody>
    </xdr:sp>
    <xdr:clientData/>
  </xdr:twoCellAnchor>
  <xdr:twoCellAnchor>
    <xdr:from>
      <xdr:col>9</xdr:col>
      <xdr:colOff>431800</xdr:colOff>
      <xdr:row>4</xdr:row>
      <xdr:rowOff>152400</xdr:rowOff>
    </xdr:from>
    <xdr:to>
      <xdr:col>12</xdr:col>
      <xdr:colOff>228600</xdr:colOff>
      <xdr:row>13</xdr:row>
      <xdr:rowOff>88900</xdr:rowOff>
    </xdr:to>
    <xdr:graphicFrame macro="">
      <xdr:nvGraphicFramePr>
        <xdr:cNvPr id="42" name="Chart 41">
          <a:extLst>
            <a:ext uri="{FF2B5EF4-FFF2-40B4-BE49-F238E27FC236}">
              <a16:creationId xmlns:a16="http://schemas.microsoft.com/office/drawing/2014/main" id="{B4F5C528-700C-4C7B-B628-903D22EA9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6350</xdr:colOff>
      <xdr:row>12</xdr:row>
      <xdr:rowOff>63500</xdr:rowOff>
    </xdr:from>
    <xdr:to>
      <xdr:col>12</xdr:col>
      <xdr:colOff>127000</xdr:colOff>
      <xdr:row>14</xdr:row>
      <xdr:rowOff>69850</xdr:rowOff>
    </xdr:to>
    <xdr:sp macro="" textlink="'Pivot Report'!A6">
      <xdr:nvSpPr>
        <xdr:cNvPr id="43" name="TextBox 42">
          <a:extLst>
            <a:ext uri="{FF2B5EF4-FFF2-40B4-BE49-F238E27FC236}">
              <a16:creationId xmlns:a16="http://schemas.microsoft.com/office/drawing/2014/main" id="{2A7D07DC-7BAF-4FC0-9802-31232A4BEAD6}"/>
            </a:ext>
          </a:extLst>
        </xdr:cNvPr>
        <xdr:cNvSpPr txBox="1"/>
      </xdr:nvSpPr>
      <xdr:spPr>
        <a:xfrm>
          <a:off x="6102350" y="227330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baseline="0">
              <a:solidFill>
                <a:schemeClr val="tx1"/>
              </a:solidFill>
            </a:rPr>
            <a:t>Patient Attend Status</a:t>
          </a:r>
          <a:endParaRPr lang="en-IN" sz="1000" b="0">
            <a:solidFill>
              <a:schemeClr val="tx1"/>
            </a:solidFill>
          </a:endParaRPr>
        </a:p>
      </xdr:txBody>
    </xdr:sp>
    <xdr:clientData/>
  </xdr:twoCellAnchor>
  <xdr:twoCellAnchor>
    <xdr:from>
      <xdr:col>12</xdr:col>
      <xdr:colOff>304800</xdr:colOff>
      <xdr:row>4</xdr:row>
      <xdr:rowOff>177800</xdr:rowOff>
    </xdr:from>
    <xdr:to>
      <xdr:col>14</xdr:col>
      <xdr:colOff>603250</xdr:colOff>
      <xdr:row>13</xdr:row>
      <xdr:rowOff>146050</xdr:rowOff>
    </xdr:to>
    <xdr:graphicFrame macro="">
      <xdr:nvGraphicFramePr>
        <xdr:cNvPr id="44" name="Chart 43">
          <a:extLst>
            <a:ext uri="{FF2B5EF4-FFF2-40B4-BE49-F238E27FC236}">
              <a16:creationId xmlns:a16="http://schemas.microsoft.com/office/drawing/2014/main" id="{9DFBFDE0-CDDD-4BC4-8D62-8A294DAF3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425450</xdr:colOff>
      <xdr:row>12</xdr:row>
      <xdr:rowOff>57150</xdr:rowOff>
    </xdr:from>
    <xdr:to>
      <xdr:col>14</xdr:col>
      <xdr:colOff>546100</xdr:colOff>
      <xdr:row>14</xdr:row>
      <xdr:rowOff>63500</xdr:rowOff>
    </xdr:to>
    <xdr:sp macro="" textlink="'Pivot Report'!A6">
      <xdr:nvSpPr>
        <xdr:cNvPr id="45" name="TextBox 44">
          <a:extLst>
            <a:ext uri="{FF2B5EF4-FFF2-40B4-BE49-F238E27FC236}">
              <a16:creationId xmlns:a16="http://schemas.microsoft.com/office/drawing/2014/main" id="{FEF45EB8-8591-4B15-8B46-7F9C81B85989}"/>
            </a:ext>
          </a:extLst>
        </xdr:cNvPr>
        <xdr:cNvSpPr txBox="1"/>
      </xdr:nvSpPr>
      <xdr:spPr>
        <a:xfrm>
          <a:off x="7740650" y="2266950"/>
          <a:ext cx="1339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baseline="0">
              <a:solidFill>
                <a:schemeClr val="tx1"/>
              </a:solidFill>
            </a:rPr>
            <a:t>Gender Wise Analysis</a:t>
          </a:r>
          <a:endParaRPr lang="en-IN" sz="1000" b="0">
            <a:solidFill>
              <a:schemeClr val="tx1"/>
            </a:solidFill>
          </a:endParaRPr>
        </a:p>
      </xdr:txBody>
    </xdr:sp>
    <xdr:clientData/>
  </xdr:twoCellAnchor>
  <xdr:twoCellAnchor>
    <xdr:from>
      <xdr:col>9</xdr:col>
      <xdr:colOff>520700</xdr:colOff>
      <xdr:row>14</xdr:row>
      <xdr:rowOff>101600</xdr:rowOff>
    </xdr:from>
    <xdr:to>
      <xdr:col>14</xdr:col>
      <xdr:colOff>577850</xdr:colOff>
      <xdr:row>23</xdr:row>
      <xdr:rowOff>165100</xdr:rowOff>
    </xdr:to>
    <xdr:graphicFrame macro="">
      <xdr:nvGraphicFramePr>
        <xdr:cNvPr id="31" name="Chart 30">
          <a:extLst>
            <a:ext uri="{FF2B5EF4-FFF2-40B4-BE49-F238E27FC236}">
              <a16:creationId xmlns:a16="http://schemas.microsoft.com/office/drawing/2014/main" id="{C36E2517-E53A-42E5-9AD1-C921B80E1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311150</xdr:colOff>
      <xdr:row>23</xdr:row>
      <xdr:rowOff>31750</xdr:rowOff>
    </xdr:from>
    <xdr:to>
      <xdr:col>14</xdr:col>
      <xdr:colOff>0</xdr:colOff>
      <xdr:row>25</xdr:row>
      <xdr:rowOff>38100</xdr:rowOff>
    </xdr:to>
    <xdr:sp macro="" textlink="'Pivot Report'!A6">
      <xdr:nvSpPr>
        <xdr:cNvPr id="33" name="TextBox 32">
          <a:extLst>
            <a:ext uri="{FF2B5EF4-FFF2-40B4-BE49-F238E27FC236}">
              <a16:creationId xmlns:a16="http://schemas.microsoft.com/office/drawing/2014/main" id="{D9C27612-26CB-45A5-8EF0-742B42BB9AF7}"/>
            </a:ext>
          </a:extLst>
        </xdr:cNvPr>
        <xdr:cNvSpPr txBox="1"/>
      </xdr:nvSpPr>
      <xdr:spPr>
        <a:xfrm>
          <a:off x="6407150" y="4267200"/>
          <a:ext cx="21272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baseline="0">
              <a:solidFill>
                <a:schemeClr val="tx1"/>
              </a:solidFill>
            </a:rPr>
            <a:t>No. of Patient by Department Referal</a:t>
          </a:r>
          <a:endParaRPr lang="en-IN" sz="1000" b="0">
            <a:solidFill>
              <a:schemeClr val="tx1"/>
            </a:solidFill>
          </a:endParaRPr>
        </a:p>
      </xdr:txBody>
    </xdr:sp>
    <xdr:clientData/>
  </xdr:twoCellAnchor>
  <xdr:twoCellAnchor editAs="oneCell">
    <xdr:from>
      <xdr:col>2</xdr:col>
      <xdr:colOff>165100</xdr:colOff>
      <xdr:row>2</xdr:row>
      <xdr:rowOff>146050</xdr:rowOff>
    </xdr:from>
    <xdr:to>
      <xdr:col>4</xdr:col>
      <xdr:colOff>441926</xdr:colOff>
      <xdr:row>4</xdr:row>
      <xdr:rowOff>101750</xdr:rowOff>
    </xdr:to>
    <mc:AlternateContent xmlns:mc="http://schemas.openxmlformats.org/markup-compatibility/2006" xmlns:a14="http://schemas.microsoft.com/office/drawing/2010/main">
      <mc:Choice Requires="a14">
        <xdr:graphicFrame macro="">
          <xdr:nvGraphicFramePr>
            <xdr:cNvPr id="35" name="Date (Year)">
              <a:extLst>
                <a:ext uri="{FF2B5EF4-FFF2-40B4-BE49-F238E27FC236}">
                  <a16:creationId xmlns:a16="http://schemas.microsoft.com/office/drawing/2014/main" id="{A18588D1-5216-450C-B8AF-D4715561AD3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384300" y="514350"/>
              <a:ext cx="1496026" cy="3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146050</xdr:colOff>
      <xdr:row>4</xdr:row>
      <xdr:rowOff>127000</xdr:rowOff>
    </xdr:from>
    <xdr:to>
      <xdr:col>11</xdr:col>
      <xdr:colOff>393700</xdr:colOff>
      <xdr:row>20</xdr:row>
      <xdr:rowOff>127000</xdr:rowOff>
    </xdr:to>
    <xdr:graphicFrame macro="">
      <xdr:nvGraphicFramePr>
        <xdr:cNvPr id="2" name="Chart 1">
          <a:extLst>
            <a:ext uri="{FF2B5EF4-FFF2-40B4-BE49-F238E27FC236}">
              <a16:creationId xmlns:a16="http://schemas.microsoft.com/office/drawing/2014/main" id="{D6A6D79D-B95B-4F08-B426-16A424550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558800</xdr:colOff>
      <xdr:row>4</xdr:row>
      <xdr:rowOff>88900</xdr:rowOff>
    </xdr:from>
    <xdr:to>
      <xdr:col>11</xdr:col>
      <xdr:colOff>368288</xdr:colOff>
      <xdr:row>6</xdr:row>
      <xdr:rowOff>139691</xdr:rowOff>
    </xdr:to>
    <xdr:pic>
      <xdr:nvPicPr>
        <xdr:cNvPr id="3" name="Graphic 1" descr="Home">
          <a:hlinkClick xmlns:r="http://schemas.openxmlformats.org/officeDocument/2006/relationships" r:id="rId2"/>
          <a:extLst>
            <a:ext uri="{FF2B5EF4-FFF2-40B4-BE49-F238E27FC236}">
              <a16:creationId xmlns:a16="http://schemas.microsoft.com/office/drawing/2014/main" id="{CA8ED19E-74C2-6B38-13A8-6596FDFBC8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54800" y="825500"/>
          <a:ext cx="419088" cy="4190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285750</xdr:colOff>
      <xdr:row>3</xdr:row>
      <xdr:rowOff>133350</xdr:rowOff>
    </xdr:from>
    <xdr:to>
      <xdr:col>13</xdr:col>
      <xdr:colOff>184150</xdr:colOff>
      <xdr:row>20</xdr:row>
      <xdr:rowOff>165100</xdr:rowOff>
    </xdr:to>
    <xdr:graphicFrame macro="">
      <xdr:nvGraphicFramePr>
        <xdr:cNvPr id="2" name="Chart 1">
          <a:extLst>
            <a:ext uri="{FF2B5EF4-FFF2-40B4-BE49-F238E27FC236}">
              <a16:creationId xmlns:a16="http://schemas.microsoft.com/office/drawing/2014/main" id="{2298EE8C-8972-4120-9D46-836604C71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0.03003</cdr:x>
      <cdr:y>0.03012</cdr:y>
    </cdr:from>
    <cdr:to>
      <cdr:x>0.0836</cdr:x>
      <cdr:y>0.16265</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5D51530-ACCF-8C49-72D7-3C1DBC3E7A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34950" y="95250"/>
          <a:ext cx="419088" cy="41909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76200</xdr:colOff>
      <xdr:row>0</xdr:row>
      <xdr:rowOff>0</xdr:rowOff>
    </xdr:from>
    <xdr:to>
      <xdr:col>11</xdr:col>
      <xdr:colOff>133350</xdr:colOff>
      <xdr:row>17</xdr:row>
      <xdr:rowOff>63500</xdr:rowOff>
    </xdr:to>
    <xdr:graphicFrame macro="">
      <xdr:nvGraphicFramePr>
        <xdr:cNvPr id="2" name="Chart 1">
          <a:extLst>
            <a:ext uri="{FF2B5EF4-FFF2-40B4-BE49-F238E27FC236}">
              <a16:creationId xmlns:a16="http://schemas.microsoft.com/office/drawing/2014/main" id="{9B216912-7D34-4119-9438-E4CC1AB7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0.04507</cdr:x>
      <cdr:y>0.09344</cdr:y>
    </cdr:from>
    <cdr:to>
      <cdr:x>0.10704</cdr:x>
      <cdr:y>0.22465</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EC476D-C3B7-AC11-5FE2-91EDF19C97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04800" y="298450"/>
          <a:ext cx="419100" cy="4191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7222222" createdVersion="5" refreshedVersion="8" minRefreshableVersion="3" recordCount="0" supportSubquery="1" supportAdvancedDrill="1" xr:uid="{153238EC-526C-4B4C-9C4E-35B0AF58C6A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7569445" createdVersion="5" refreshedVersion="8" minRefreshableVersion="3" recordCount="0" supportSubquery="1" supportAdvancedDrill="1" xr:uid="{22F1CF69-A0F3-47F1-8897-BAEF8CB4C32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7685184" createdVersion="5" refreshedVersion="8" minRefreshableVersion="3" recordCount="0" supportSubquery="1" supportAdvancedDrill="1" xr:uid="{5DD29202-36D8-49C8-8D88-83BA9045ABB3}">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7916669" createdVersion="5" refreshedVersion="8" minRefreshableVersion="3" recordCount="0" supportSubquery="1" supportAdvancedDrill="1" xr:uid="{38BF2052-D569-4F5B-BEA4-1BA49D8A7ACB}">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8495369" createdVersion="5" refreshedVersion="8" minRefreshableVersion="3" recordCount="0" supportSubquery="1" supportAdvancedDrill="1" xr:uid="{A27F8EDA-52F0-4BA0-AF85-F2508E17F11E}">
  <cacheSource type="external" connectionId="3"/>
  <cacheFields count="4">
    <cacheField name="[Calendar_Table].[Date (Day)].[Date (Day)]" caption="Date (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Jul"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8842592" createdVersion="5" refreshedVersion="8" minRefreshableVersion="3" recordCount="0" supportSubquery="1" supportAdvancedDrill="1" xr:uid="{2026F218-5CD0-482C-B78B-BB0D4163D1BF}">
  <cacheSource type="external" connectionId="3"/>
  <cacheFields count="4">
    <cacheField name="[Calendar_Table].[Date (Day)].[Date (Day)]" caption="Date (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1-Jul"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49537039" createdVersion="5" refreshedVersion="8" minRefreshableVersion="3" recordCount="0" supportSubquery="1" supportAdvancedDrill="1" xr:uid="{61AC83EC-86D3-44E9-9BA4-9BA57FB5453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50000001" createdVersion="5" refreshedVersion="8" minRefreshableVersion="3" recordCount="0" supportSubquery="1" supportAdvancedDrill="1" xr:uid="{1CD49217-7872-4EDA-B4FF-EBAA7EFF5F49}">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1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50578701" createdVersion="5" refreshedVersion="8" minRefreshableVersion="3" recordCount="0" supportSubquery="1" supportAdvancedDrill="1" xr:uid="{271B607C-F676-4448-9D92-0C37F39B70EF}">
  <cacheSource type="external" connectionId="3"/>
  <cacheFields count="4">
    <cacheField name="[Calenda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51157409" createdVersion="5" refreshedVersion="8" minRefreshableVersion="3" recordCount="0" supportSubquery="1" supportAdvancedDrill="1" xr:uid="{6C7C7B2E-5645-4897-8FBB-EB03B954DB1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5173611" createdVersion="5" refreshedVersion="8" minRefreshableVersion="3" recordCount="0" supportSubquery="1" supportAdvancedDrill="1" xr:uid="{344D948F-2D42-4AA6-8349-F70350963F0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86752314818" createdVersion="5" refreshedVersion="8" minRefreshableVersion="3" recordCount="0" supportSubquery="1" supportAdvancedDrill="1" xr:uid="{014D2C44-244E-49BF-8F4D-FF415D857BBC}">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644863888891" createdVersion="3" refreshedVersion="8" minRefreshableVersion="3" recordCount="0" supportSubquery="1" supportAdvancedDrill="1" xr:uid="{FB68048F-0F67-499A-985D-3B24248627A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38274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4470E-73E6-4040-842F-75FAC9C27F5B}" name="PivotTable10" cacheId="9"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13">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A41DE-C976-4653-83A8-5DF71E0E0B1B}" name="PivotTable12" cacheId="11"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21">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8E9FAC-8372-4F73-BE0C-77E703515E0A}" name="PivotTable7" cacheId="6"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1">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2A421D-F97B-43CB-B079-8765E0A1FADF}" name="PivotTable6" cacheId="4" applyNumberFormats="0" applyBorderFormats="0" applyFontFormats="0" applyPatternFormats="0" applyAlignmentFormats="0" applyWidthHeightFormats="1" dataCaption="Values" tag="32767e22-1bd1-41c4-b28d-87cc1606ce18" updatedVersion="8" minRefreshableVersion="3" subtotalHiddenItems="1" itemPrintTitles="1" createdVersion="5" indent="0" outline="1" outlineData="1" multipleFieldFilters="0" chartFormat="19">
  <location ref="I5: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2" fld="2" subtotal="average" baseField="0" baseItem="0" numFmtId="2"/>
  </dataFields>
  <formats count="2">
    <format dxfId="5">
      <pivotArea collapsedLevelsAreSubtotals="1" fieldPosition="0">
        <references count="1">
          <reference field="0" count="1">
            <x v="30"/>
          </reference>
        </references>
      </pivotArea>
    </format>
    <format dxfId="4">
      <pivotArea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E82159-ED43-4F02-9CD2-FF6843691DF7}" name="PivotTable3" cacheId="3" applyNumberFormats="0" applyBorderFormats="0" applyFontFormats="0" applyPatternFormats="0" applyAlignmentFormats="0" applyWidthHeightFormats="1" dataCaption="Values" tag="e412c0e1-341d-454f-adca-52292c80c7da" updatedVersion="8" minRefreshableVersion="3"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2F6C3C-64CB-49AD-AE92-A68ED58201DF}" name="PivotTable4" cacheId="0" applyNumberFormats="0" applyBorderFormats="0" applyFontFormats="0" applyPatternFormats="0" applyAlignmentFormats="0" applyWidthHeightFormats="1" dataCaption="Values" tag="32767e22-1bd1-41c4-b28d-87cc1606ce18" updatedVersion="8" minRefreshableVersion="3" subtotalHiddenItems="1" itemPrintTitles="1" createdVersion="5" indent="0" outline="1" outlineData="1" multipleFieldFilters="0" chartFormat="10">
  <location ref="E5:F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B85BE7-8BA0-47C9-BFAB-44FE06319765}" name="PivotTable9" cacheId="8"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9">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7">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0A6130-58AC-4BF2-83F6-D9BC1DFF6252}" name="PivotTable2" cacheId="2"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6548F7-BF2D-492D-B7D5-02F6F46D8D04}" name="PivotTable5" cacheId="5" applyNumberFormats="0" applyBorderFormats="0" applyFontFormats="0" applyPatternFormats="0" applyAlignmentFormats="0" applyWidthHeightFormats="1" dataCaption="Values" tag="32767e22-1bd1-41c4-b28d-87cc1606ce18" updatedVersion="8" minRefreshableVersion="3" subtotalHiddenItems="1" itemPrintTitles="1" createdVersion="5" indent="0" outline="1" outlineData="1" multipleFieldFilters="0" chartFormat="26">
  <location ref="N5:O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10">
      <pivotArea collapsedLevelsAreSubtotals="1" fieldPosition="0">
        <references count="1">
          <reference field="0" count="1">
            <x v="30"/>
          </reference>
        </references>
      </pivotArea>
    </format>
    <format dxfId="9">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2"/>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7BBE1D-9C48-4CB6-B18D-4E7E776DA034}" name="PivotTable1" cacheId="1" applyNumberFormats="0" applyBorderFormats="0" applyFontFormats="0" applyPatternFormats="0" applyAlignmentFormats="0" applyWidthHeightFormats="1" dataCaption="Values" tag="1a6cb433-cef4-40f9-85b1-6b387ff10f34"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94E380-3F09-4D6A-9D07-7BBE09312239}" name="PivotTable11" cacheId="10"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21">
  <location ref="A74:B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11">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4CCFA1-49D5-4A74-B1C3-71E573E393B3}" name="PivotTable8" cacheId="7" applyNumberFormats="0" applyBorderFormats="0" applyFontFormats="0" applyPatternFormats="0" applyAlignmentFormats="0" applyWidthHeightFormats="1" dataCaption="Values" tag="f087d0a1-7c11-45fc-a9d6-7d2ba26602ac" updatedVersion="8" minRefreshableVersion="3" subtotalHiddenItems="1" itemPrintTitles="1" createdVersion="5" indent="0" outline="1" outlineData="1" multipleFieldFilters="0" chartFormat="4">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A6540E8-C119-43D2-BEB5-E3956C548669}" sourceName="[Calendar_Table].[Date (Month)]">
  <pivotTables>
    <pivotTable tabId="1" name="PivotTable4"/>
    <pivotTable tabId="1" name="PivotTable1"/>
    <pivotTable tabId="1" name="PivotTable2"/>
    <pivotTable tabId="1" name="PivotTable3"/>
    <pivotTable tabId="1" name="PivotTable6"/>
    <pivotTable tabId="1" name="PivotTable5"/>
    <pivotTable tabId="1" name="PivotTable7"/>
    <pivotTable tabId="1" name="PivotTable8"/>
    <pivotTable tabId="1" name="PivotTable9"/>
    <pivotTable tabId="1" name="PivotTable10"/>
    <pivotTable tabId="1" name="PivotTable11"/>
    <pivotTable tabId="1" name="PivotTable12"/>
  </pivotTables>
  <data>
    <olap pivotCacheId="113827403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E0B140B-998A-466C-84B9-B36F82C6654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827403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248D300-DC3C-4F28-929B-F6DA2AA5FAB7}" cache="Slicer_Date__Month" caption="Date (Month)" showCaption="0" level="1" style="My Design" rowHeight="288000"/>
  <slicer name="Date (Year)" xr10:uid="{BB55D571-69CB-4011-8F22-CFEB6059C464}" cache="Slicer_Date__Year" caption="Date (Year)" columnCount="2" showCaption="0" level="1" style="SlicerStyleDark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1E85-B986-46A1-904C-3D1F6DBDBA81}">
  <dimension ref="A4:O89"/>
  <sheetViews>
    <sheetView workbookViewId="0">
      <selection activeCell="C18" sqref="C18"/>
    </sheetView>
  </sheetViews>
  <sheetFormatPr defaultRowHeight="14.5" x14ac:dyDescent="0.35"/>
  <cols>
    <col min="1" max="1" width="20.81640625" customWidth="1"/>
    <col min="2" max="2" width="13.81640625" customWidth="1"/>
    <col min="3" max="3" width="13.90625" customWidth="1"/>
    <col min="4" max="4" width="14.26953125" customWidth="1"/>
    <col min="5" max="5" width="6.453125" customWidth="1"/>
    <col min="8" max="8" width="17.6328125" customWidth="1"/>
    <col min="9" max="9" width="24" customWidth="1"/>
    <col min="14" max="14" width="24.1796875" customWidth="1"/>
  </cols>
  <sheetData>
    <row r="4" spans="1:15" x14ac:dyDescent="0.35">
      <c r="A4" t="s">
        <v>1</v>
      </c>
      <c r="E4" t="s">
        <v>7</v>
      </c>
      <c r="I4" t="s">
        <v>6</v>
      </c>
      <c r="N4" t="s">
        <v>9</v>
      </c>
    </row>
    <row r="5" spans="1:15" x14ac:dyDescent="0.35">
      <c r="A5" t="s">
        <v>0</v>
      </c>
      <c r="E5" s="3" t="s">
        <v>4</v>
      </c>
      <c r="F5" t="s">
        <v>0</v>
      </c>
      <c r="I5" s="3" t="s">
        <v>4</v>
      </c>
      <c r="J5" t="s">
        <v>8</v>
      </c>
      <c r="N5" s="3" t="s">
        <v>4</v>
      </c>
      <c r="O5" t="s">
        <v>3</v>
      </c>
    </row>
    <row r="6" spans="1:15" x14ac:dyDescent="0.35">
      <c r="A6">
        <v>506</v>
      </c>
      <c r="E6" s="4" t="s">
        <v>45</v>
      </c>
      <c r="F6">
        <v>26</v>
      </c>
      <c r="I6" s="4" t="s">
        <v>45</v>
      </c>
      <c r="J6" s="1">
        <v>34.884615384615387</v>
      </c>
      <c r="N6" s="4" t="s">
        <v>45</v>
      </c>
      <c r="O6" s="1">
        <v>4.8</v>
      </c>
    </row>
    <row r="7" spans="1:15" x14ac:dyDescent="0.35">
      <c r="E7" s="4" t="s">
        <v>46</v>
      </c>
      <c r="F7">
        <v>17</v>
      </c>
      <c r="I7" s="4" t="s">
        <v>46</v>
      </c>
      <c r="J7" s="1">
        <v>34.941176470588232</v>
      </c>
      <c r="N7" s="4" t="s">
        <v>46</v>
      </c>
      <c r="O7" s="1">
        <v>5.333333333333333</v>
      </c>
    </row>
    <row r="8" spans="1:15" x14ac:dyDescent="0.35">
      <c r="E8" s="4" t="s">
        <v>47</v>
      </c>
      <c r="F8">
        <v>19</v>
      </c>
      <c r="I8" s="4" t="s">
        <v>47</v>
      </c>
      <c r="J8" s="1">
        <v>32.736842105263158</v>
      </c>
      <c r="N8" s="4" t="s">
        <v>47</v>
      </c>
      <c r="O8" s="1">
        <v>6.666666666666667</v>
      </c>
    </row>
    <row r="9" spans="1:15" x14ac:dyDescent="0.35">
      <c r="E9" s="4" t="s">
        <v>48</v>
      </c>
      <c r="F9">
        <v>17</v>
      </c>
      <c r="I9" s="4" t="s">
        <v>48</v>
      </c>
      <c r="J9" s="1">
        <v>34.411764705882355</v>
      </c>
      <c r="N9" s="4" t="s">
        <v>48</v>
      </c>
      <c r="O9" s="1">
        <v>4.5555555555555554</v>
      </c>
    </row>
    <row r="10" spans="1:15" x14ac:dyDescent="0.35">
      <c r="A10" t="s">
        <v>2</v>
      </c>
      <c r="E10" s="4" t="s">
        <v>49</v>
      </c>
      <c r="F10">
        <v>18</v>
      </c>
      <c r="I10" s="4" t="s">
        <v>49</v>
      </c>
      <c r="J10" s="1">
        <v>34.388888888888886</v>
      </c>
      <c r="N10" s="4" t="s">
        <v>49</v>
      </c>
      <c r="O10" s="1">
        <v>4.333333333333333</v>
      </c>
    </row>
    <row r="11" spans="1:15" x14ac:dyDescent="0.35">
      <c r="A11" s="1">
        <v>35.581027667984188</v>
      </c>
      <c r="E11" s="4" t="s">
        <v>50</v>
      </c>
      <c r="F11">
        <v>17</v>
      </c>
      <c r="I11" s="4" t="s">
        <v>50</v>
      </c>
      <c r="J11" s="1">
        <v>33.294117647058826</v>
      </c>
      <c r="N11" s="4" t="s">
        <v>50</v>
      </c>
      <c r="O11" s="1">
        <v>7.333333333333333</v>
      </c>
    </row>
    <row r="12" spans="1:15" x14ac:dyDescent="0.35">
      <c r="E12" s="4" t="s">
        <v>51</v>
      </c>
      <c r="F12">
        <v>17</v>
      </c>
      <c r="I12" s="4" t="s">
        <v>51</v>
      </c>
      <c r="J12" s="1">
        <v>35</v>
      </c>
      <c r="N12" s="4" t="s">
        <v>51</v>
      </c>
      <c r="O12" s="1">
        <v>5.25</v>
      </c>
    </row>
    <row r="13" spans="1:15" x14ac:dyDescent="0.35">
      <c r="E13" s="4" t="s">
        <v>52</v>
      </c>
      <c r="F13">
        <v>19</v>
      </c>
      <c r="I13" s="4" t="s">
        <v>52</v>
      </c>
      <c r="J13" s="1">
        <v>36.736842105263158</v>
      </c>
      <c r="N13" s="4" t="s">
        <v>52</v>
      </c>
      <c r="O13" s="1">
        <v>6.333333333333333</v>
      </c>
    </row>
    <row r="14" spans="1:15" x14ac:dyDescent="0.35">
      <c r="A14" t="s">
        <v>3</v>
      </c>
      <c r="E14" s="4" t="s">
        <v>53</v>
      </c>
      <c r="F14">
        <v>19</v>
      </c>
      <c r="I14" s="4" t="s">
        <v>53</v>
      </c>
      <c r="J14" s="1">
        <v>37.368421052631582</v>
      </c>
      <c r="N14" s="4" t="s">
        <v>53</v>
      </c>
      <c r="O14" s="1">
        <v>5.7142857142857144</v>
      </c>
    </row>
    <row r="15" spans="1:15" x14ac:dyDescent="0.35">
      <c r="A15" s="1">
        <v>5.1818181818181817</v>
      </c>
      <c r="E15" s="4" t="s">
        <v>54</v>
      </c>
      <c r="F15">
        <v>14</v>
      </c>
      <c r="I15" s="4" t="s">
        <v>54</v>
      </c>
      <c r="J15" s="1">
        <v>31.428571428571427</v>
      </c>
      <c r="N15" s="4" t="s">
        <v>54</v>
      </c>
      <c r="O15" s="1">
        <v>5</v>
      </c>
    </row>
    <row r="16" spans="1:15" x14ac:dyDescent="0.35">
      <c r="E16" s="4" t="s">
        <v>55</v>
      </c>
      <c r="F16">
        <v>17</v>
      </c>
      <c r="I16" s="4" t="s">
        <v>55</v>
      </c>
      <c r="J16" s="1">
        <v>45.470588235294116</v>
      </c>
      <c r="N16" s="4" t="s">
        <v>55</v>
      </c>
      <c r="O16" s="1">
        <v>6.166666666666667</v>
      </c>
    </row>
    <row r="17" spans="5:15" x14ac:dyDescent="0.35">
      <c r="E17" s="4" t="s">
        <v>56</v>
      </c>
      <c r="F17">
        <v>20</v>
      </c>
      <c r="I17" s="4" t="s">
        <v>56</v>
      </c>
      <c r="J17" s="1">
        <v>32.549999999999997</v>
      </c>
      <c r="N17" s="4" t="s">
        <v>56</v>
      </c>
      <c r="O17" s="1">
        <v>3</v>
      </c>
    </row>
    <row r="18" spans="5:15" x14ac:dyDescent="0.35">
      <c r="E18" s="4" t="s">
        <v>57</v>
      </c>
      <c r="F18">
        <v>13</v>
      </c>
      <c r="I18" s="4" t="s">
        <v>57</v>
      </c>
      <c r="J18" s="1">
        <v>39.615384615384613</v>
      </c>
      <c r="N18" s="4" t="s">
        <v>57</v>
      </c>
      <c r="O18" s="1">
        <v>4.5</v>
      </c>
    </row>
    <row r="19" spans="5:15" x14ac:dyDescent="0.35">
      <c r="E19" s="4" t="s">
        <v>58</v>
      </c>
      <c r="F19">
        <v>14</v>
      </c>
      <c r="I19" s="4" t="s">
        <v>58</v>
      </c>
      <c r="J19" s="1">
        <v>36</v>
      </c>
      <c r="N19" s="4" t="s">
        <v>58</v>
      </c>
      <c r="O19" s="1">
        <v>4.666666666666667</v>
      </c>
    </row>
    <row r="20" spans="5:15" x14ac:dyDescent="0.35">
      <c r="E20" s="4" t="s">
        <v>59</v>
      </c>
      <c r="F20">
        <v>15</v>
      </c>
      <c r="I20" s="4" t="s">
        <v>59</v>
      </c>
      <c r="J20" s="1">
        <v>31.6</v>
      </c>
      <c r="N20" s="4" t="s">
        <v>59</v>
      </c>
      <c r="O20" s="1">
        <v>9</v>
      </c>
    </row>
    <row r="21" spans="5:15" x14ac:dyDescent="0.35">
      <c r="E21" s="4" t="s">
        <v>60</v>
      </c>
      <c r="F21">
        <v>13</v>
      </c>
      <c r="I21" s="4" t="s">
        <v>60</v>
      </c>
      <c r="J21" s="1">
        <v>33.846153846153847</v>
      </c>
      <c r="N21" s="4" t="s">
        <v>60</v>
      </c>
      <c r="O21" s="1">
        <v>1.5</v>
      </c>
    </row>
    <row r="22" spans="5:15" x14ac:dyDescent="0.35">
      <c r="E22" s="4" t="s">
        <v>61</v>
      </c>
      <c r="F22">
        <v>15</v>
      </c>
      <c r="I22" s="4" t="s">
        <v>61</v>
      </c>
      <c r="J22" s="1">
        <v>31.8</v>
      </c>
      <c r="N22" s="4" t="s">
        <v>61</v>
      </c>
      <c r="O22" s="1">
        <v>6.8</v>
      </c>
    </row>
    <row r="23" spans="5:15" x14ac:dyDescent="0.35">
      <c r="E23" s="4" t="s">
        <v>62</v>
      </c>
      <c r="F23">
        <v>17</v>
      </c>
      <c r="I23" s="4" t="s">
        <v>62</v>
      </c>
      <c r="J23" s="1">
        <v>36</v>
      </c>
      <c r="N23" s="4" t="s">
        <v>62</v>
      </c>
      <c r="O23" s="1">
        <v>4.625</v>
      </c>
    </row>
    <row r="24" spans="5:15" x14ac:dyDescent="0.35">
      <c r="E24" s="4" t="s">
        <v>63</v>
      </c>
      <c r="F24">
        <v>10</v>
      </c>
      <c r="I24" s="4" t="s">
        <v>63</v>
      </c>
      <c r="J24" s="1">
        <v>29.8</v>
      </c>
      <c r="N24" s="4" t="s">
        <v>63</v>
      </c>
      <c r="O24" s="1">
        <v>4.333333333333333</v>
      </c>
    </row>
    <row r="25" spans="5:15" x14ac:dyDescent="0.35">
      <c r="E25" s="4" t="s">
        <v>64</v>
      </c>
      <c r="F25">
        <v>13</v>
      </c>
      <c r="I25" s="4" t="s">
        <v>64</v>
      </c>
      <c r="J25" s="1">
        <v>41.307692307692307</v>
      </c>
      <c r="N25" s="4" t="s">
        <v>64</v>
      </c>
      <c r="O25" s="1">
        <v>1.3333333333333333</v>
      </c>
    </row>
    <row r="26" spans="5:15" x14ac:dyDescent="0.35">
      <c r="E26" s="4" t="s">
        <v>65</v>
      </c>
      <c r="F26">
        <v>17</v>
      </c>
      <c r="I26" s="4" t="s">
        <v>65</v>
      </c>
      <c r="J26" s="1">
        <v>29.764705882352942</v>
      </c>
      <c r="N26" s="4" t="s">
        <v>65</v>
      </c>
      <c r="O26" s="1">
        <v>5</v>
      </c>
    </row>
    <row r="27" spans="5:15" x14ac:dyDescent="0.35">
      <c r="E27" s="4" t="s">
        <v>66</v>
      </c>
      <c r="F27">
        <v>26</v>
      </c>
      <c r="I27" s="4" t="s">
        <v>66</v>
      </c>
      <c r="J27" s="1">
        <v>37.92307692307692</v>
      </c>
      <c r="N27" s="4" t="s">
        <v>66</v>
      </c>
      <c r="O27" s="1">
        <v>3.1666666666666665</v>
      </c>
    </row>
    <row r="28" spans="5:15" x14ac:dyDescent="0.35">
      <c r="E28" s="4" t="s">
        <v>67</v>
      </c>
      <c r="F28">
        <v>8</v>
      </c>
      <c r="I28" s="4" t="s">
        <v>67</v>
      </c>
      <c r="J28" s="1">
        <v>38.625</v>
      </c>
      <c r="N28" s="4" t="s">
        <v>67</v>
      </c>
      <c r="O28" s="1">
        <v>7.5</v>
      </c>
    </row>
    <row r="29" spans="5:15" x14ac:dyDescent="0.35">
      <c r="E29" s="4" t="s">
        <v>68</v>
      </c>
      <c r="F29">
        <v>17</v>
      </c>
      <c r="I29" s="4" t="s">
        <v>68</v>
      </c>
      <c r="J29" s="1">
        <v>41.470588235294116</v>
      </c>
      <c r="N29" s="4" t="s">
        <v>68</v>
      </c>
      <c r="O29" s="1">
        <v>4.2</v>
      </c>
    </row>
    <row r="30" spans="5:15" x14ac:dyDescent="0.35">
      <c r="E30" s="4" t="s">
        <v>69</v>
      </c>
      <c r="F30">
        <v>18</v>
      </c>
      <c r="I30" s="4" t="s">
        <v>69</v>
      </c>
      <c r="J30" s="1">
        <v>39.5</v>
      </c>
      <c r="N30" s="4" t="s">
        <v>69</v>
      </c>
      <c r="O30" s="1">
        <v>4.625</v>
      </c>
    </row>
    <row r="31" spans="5:15" x14ac:dyDescent="0.35">
      <c r="E31" s="4" t="s">
        <v>70</v>
      </c>
      <c r="F31">
        <v>19</v>
      </c>
      <c r="I31" s="4" t="s">
        <v>70</v>
      </c>
      <c r="J31" s="1">
        <v>29.736842105263158</v>
      </c>
      <c r="N31" s="4" t="s">
        <v>70</v>
      </c>
      <c r="O31" s="1">
        <v>9.6666666666666661</v>
      </c>
    </row>
    <row r="32" spans="5:15" x14ac:dyDescent="0.35">
      <c r="E32" s="4" t="s">
        <v>71</v>
      </c>
      <c r="F32">
        <v>20</v>
      </c>
      <c r="I32" s="4" t="s">
        <v>71</v>
      </c>
      <c r="J32" s="1">
        <v>37.75</v>
      </c>
      <c r="N32" s="4" t="s">
        <v>71</v>
      </c>
      <c r="O32" s="1">
        <v>6.125</v>
      </c>
    </row>
    <row r="33" spans="1:15" x14ac:dyDescent="0.35">
      <c r="E33" s="4" t="s">
        <v>72</v>
      </c>
      <c r="F33">
        <v>23</v>
      </c>
      <c r="I33" s="4" t="s">
        <v>72</v>
      </c>
      <c r="J33" s="1">
        <v>37.782608695652172</v>
      </c>
      <c r="N33" s="4" t="s">
        <v>72</v>
      </c>
      <c r="O33" s="1">
        <v>5.5555555555555554</v>
      </c>
    </row>
    <row r="34" spans="1:15" x14ac:dyDescent="0.35">
      <c r="E34" s="4" t="s">
        <v>73</v>
      </c>
      <c r="F34">
        <v>16</v>
      </c>
      <c r="I34" s="4" t="s">
        <v>73</v>
      </c>
      <c r="J34" s="1">
        <v>34.1875</v>
      </c>
      <c r="N34" s="4" t="s">
        <v>73</v>
      </c>
      <c r="O34" s="1">
        <v>6.333333333333333</v>
      </c>
    </row>
    <row r="35" spans="1:15" x14ac:dyDescent="0.35">
      <c r="E35" s="4" t="s">
        <v>74</v>
      </c>
      <c r="F35">
        <v>12</v>
      </c>
      <c r="I35" s="4" t="s">
        <v>74</v>
      </c>
      <c r="J35" s="1">
        <v>36.166666666666664</v>
      </c>
      <c r="N35" s="4" t="s">
        <v>74</v>
      </c>
      <c r="O35" s="1">
        <v>5.333333333333333</v>
      </c>
    </row>
    <row r="36" spans="1:15" x14ac:dyDescent="0.35">
      <c r="E36" s="4" t="s">
        <v>5</v>
      </c>
      <c r="F36">
        <v>506</v>
      </c>
      <c r="I36" s="4" t="s">
        <v>5</v>
      </c>
      <c r="J36" s="1">
        <v>35.581027667984188</v>
      </c>
      <c r="N36" s="4" t="s">
        <v>5</v>
      </c>
      <c r="O36" s="1">
        <v>5.1818181818181817</v>
      </c>
    </row>
    <row r="37" spans="1:15" x14ac:dyDescent="0.35">
      <c r="A37" s="3" t="s">
        <v>4</v>
      </c>
      <c r="B37" t="s">
        <v>10</v>
      </c>
      <c r="C37" t="s">
        <v>13</v>
      </c>
    </row>
    <row r="38" spans="1:15" x14ac:dyDescent="0.35">
      <c r="A38" s="4" t="s">
        <v>11</v>
      </c>
      <c r="B38" s="7">
        <v>252</v>
      </c>
      <c r="C38" s="8">
        <v>0.49802371541501977</v>
      </c>
    </row>
    <row r="39" spans="1:15" x14ac:dyDescent="0.35">
      <c r="A39" s="4" t="s">
        <v>12</v>
      </c>
      <c r="B39" s="7">
        <v>254</v>
      </c>
      <c r="C39" s="8">
        <v>0.50197628458498023</v>
      </c>
    </row>
    <row r="40" spans="1:15" x14ac:dyDescent="0.35">
      <c r="A40" s="4" t="s">
        <v>5</v>
      </c>
      <c r="B40" s="7">
        <v>506</v>
      </c>
      <c r="C40" s="8">
        <v>1</v>
      </c>
    </row>
    <row r="45" spans="1:15" x14ac:dyDescent="0.35">
      <c r="A45" s="10" t="s">
        <v>14</v>
      </c>
      <c r="B45" s="10" t="s">
        <v>16</v>
      </c>
      <c r="C45" s="10" t="s">
        <v>15</v>
      </c>
      <c r="D45" s="9"/>
    </row>
    <row r="46" spans="1:15" x14ac:dyDescent="0.35">
      <c r="A46" s="11" t="str">
        <f>A39</f>
        <v>Not Admitted</v>
      </c>
      <c r="B46" s="11">
        <f>B39</f>
        <v>254</v>
      </c>
      <c r="C46" s="12">
        <f>C39</f>
        <v>0.50197628458498023</v>
      </c>
      <c r="D46" s="13"/>
    </row>
    <row r="47" spans="1:15" x14ac:dyDescent="0.35">
      <c r="A47" s="11" t="str">
        <f>A38</f>
        <v>Admitted</v>
      </c>
      <c r="B47" s="11">
        <f>B38</f>
        <v>252</v>
      </c>
      <c r="C47" s="12">
        <f>C38</f>
        <v>0.49802371541501977</v>
      </c>
      <c r="D47" s="13"/>
    </row>
    <row r="49" spans="1:2" x14ac:dyDescent="0.35">
      <c r="A49" t="s">
        <v>26</v>
      </c>
    </row>
    <row r="50" spans="1:2" x14ac:dyDescent="0.35">
      <c r="A50" s="3" t="s">
        <v>4</v>
      </c>
      <c r="B50" t="s">
        <v>25</v>
      </c>
    </row>
    <row r="51" spans="1:2" x14ac:dyDescent="0.35">
      <c r="A51" s="4" t="s">
        <v>17</v>
      </c>
      <c r="B51" s="7">
        <v>54</v>
      </c>
    </row>
    <row r="52" spans="1:2" x14ac:dyDescent="0.35">
      <c r="A52" s="4" t="s">
        <v>18</v>
      </c>
      <c r="B52" s="7">
        <v>72</v>
      </c>
    </row>
    <row r="53" spans="1:2" x14ac:dyDescent="0.35">
      <c r="A53" s="4" t="s">
        <v>19</v>
      </c>
      <c r="B53" s="7">
        <v>75</v>
      </c>
    </row>
    <row r="54" spans="1:2" x14ac:dyDescent="0.35">
      <c r="A54" s="4" t="s">
        <v>20</v>
      </c>
      <c r="B54" s="7">
        <v>62</v>
      </c>
    </row>
    <row r="55" spans="1:2" x14ac:dyDescent="0.35">
      <c r="A55" s="4" t="s">
        <v>21</v>
      </c>
      <c r="B55" s="7">
        <v>63</v>
      </c>
    </row>
    <row r="56" spans="1:2" x14ac:dyDescent="0.35">
      <c r="A56" s="4" t="s">
        <v>22</v>
      </c>
      <c r="B56" s="7">
        <v>49</v>
      </c>
    </row>
    <row r="57" spans="1:2" x14ac:dyDescent="0.35">
      <c r="A57" s="4" t="s">
        <v>23</v>
      </c>
      <c r="B57" s="7">
        <v>74</v>
      </c>
    </row>
    <row r="58" spans="1:2" x14ac:dyDescent="0.35">
      <c r="A58" s="4" t="s">
        <v>24</v>
      </c>
      <c r="B58" s="7">
        <v>57</v>
      </c>
    </row>
    <row r="59" spans="1:2" x14ac:dyDescent="0.35">
      <c r="A59" s="4" t="s">
        <v>5</v>
      </c>
      <c r="B59" s="7">
        <v>506</v>
      </c>
    </row>
    <row r="61" spans="1:2" x14ac:dyDescent="0.35">
      <c r="A61" s="4" t="s">
        <v>30</v>
      </c>
    </row>
    <row r="62" spans="1:2" x14ac:dyDescent="0.35">
      <c r="A62" s="3" t="s">
        <v>4</v>
      </c>
      <c r="B62" t="s">
        <v>29</v>
      </c>
    </row>
    <row r="63" spans="1:2" x14ac:dyDescent="0.35">
      <c r="A63" s="4" t="s">
        <v>27</v>
      </c>
      <c r="B63" s="7">
        <v>311</v>
      </c>
    </row>
    <row r="64" spans="1:2" x14ac:dyDescent="0.35">
      <c r="A64" s="4" t="s">
        <v>28</v>
      </c>
      <c r="B64" s="7">
        <v>195</v>
      </c>
    </row>
    <row r="65" spans="1:2" x14ac:dyDescent="0.35">
      <c r="A65" s="4" t="s">
        <v>5</v>
      </c>
      <c r="B65" s="7">
        <v>506</v>
      </c>
    </row>
    <row r="67" spans="1:2" x14ac:dyDescent="0.35">
      <c r="A67" s="4" t="s">
        <v>34</v>
      </c>
    </row>
    <row r="68" spans="1:2" x14ac:dyDescent="0.35">
      <c r="A68" s="3" t="s">
        <v>4</v>
      </c>
      <c r="B68" t="s">
        <v>33</v>
      </c>
    </row>
    <row r="69" spans="1:2" x14ac:dyDescent="0.35">
      <c r="A69" s="4" t="s">
        <v>31</v>
      </c>
      <c r="B69" s="7">
        <v>233</v>
      </c>
    </row>
    <row r="70" spans="1:2" x14ac:dyDescent="0.35">
      <c r="A70" s="4" t="s">
        <v>32</v>
      </c>
      <c r="B70" s="7">
        <v>273</v>
      </c>
    </row>
    <row r="71" spans="1:2" x14ac:dyDescent="0.35">
      <c r="A71" s="4" t="s">
        <v>5</v>
      </c>
      <c r="B71" s="7">
        <v>506</v>
      </c>
    </row>
    <row r="74" spans="1:2" x14ac:dyDescent="0.35">
      <c r="A74" s="3" t="s">
        <v>4</v>
      </c>
      <c r="B74" t="s">
        <v>43</v>
      </c>
    </row>
    <row r="75" spans="1:2" x14ac:dyDescent="0.35">
      <c r="A75" s="4" t="s">
        <v>42</v>
      </c>
      <c r="B75" s="7">
        <v>2</v>
      </c>
    </row>
    <row r="76" spans="1:2" x14ac:dyDescent="0.35">
      <c r="A76" s="4" t="s">
        <v>36</v>
      </c>
      <c r="B76" s="7">
        <v>11</v>
      </c>
    </row>
    <row r="77" spans="1:2" x14ac:dyDescent="0.35">
      <c r="A77" s="4" t="s">
        <v>35</v>
      </c>
      <c r="B77" s="7">
        <v>12</v>
      </c>
    </row>
    <row r="78" spans="1:2" x14ac:dyDescent="0.35">
      <c r="A78" s="4" t="s">
        <v>38</v>
      </c>
      <c r="B78" s="7">
        <v>15</v>
      </c>
    </row>
    <row r="79" spans="1:2" x14ac:dyDescent="0.35">
      <c r="A79" s="4" t="s">
        <v>41</v>
      </c>
      <c r="B79" s="7">
        <v>18</v>
      </c>
    </row>
    <row r="80" spans="1:2" x14ac:dyDescent="0.35">
      <c r="A80" s="4" t="s">
        <v>40</v>
      </c>
      <c r="B80" s="7">
        <v>60</v>
      </c>
    </row>
    <row r="81" spans="1:2" x14ac:dyDescent="0.35">
      <c r="A81" s="4" t="s">
        <v>37</v>
      </c>
      <c r="B81" s="7">
        <v>83</v>
      </c>
    </row>
    <row r="82" spans="1:2" x14ac:dyDescent="0.35">
      <c r="A82" s="4" t="s">
        <v>39</v>
      </c>
      <c r="B82" s="7">
        <v>305</v>
      </c>
    </row>
    <row r="83" spans="1:2" x14ac:dyDescent="0.35">
      <c r="A83" s="4" t="s">
        <v>5</v>
      </c>
      <c r="B83" s="7">
        <v>506</v>
      </c>
    </row>
    <row r="87" spans="1:2" x14ac:dyDescent="0.35">
      <c r="A87" s="3" t="s">
        <v>4</v>
      </c>
    </row>
    <row r="88" spans="1:2" x14ac:dyDescent="0.35">
      <c r="A88" s="4" t="s">
        <v>44</v>
      </c>
    </row>
    <row r="89" spans="1:2" x14ac:dyDescent="0.35">
      <c r="A89"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AEAA-5E46-43C6-97DA-5E5821E2E670}">
  <dimension ref="A1:P47"/>
  <sheetViews>
    <sheetView tabSelected="1" zoomScaleNormal="100" workbookViewId="0"/>
  </sheetViews>
  <sheetFormatPr defaultRowHeight="14.5" x14ac:dyDescent="0.35"/>
  <sheetData>
    <row r="1" spans="1:16" x14ac:dyDescent="0.35">
      <c r="A1" s="2"/>
      <c r="B1" s="2"/>
      <c r="C1" s="2"/>
      <c r="D1" s="2"/>
      <c r="E1" s="2"/>
      <c r="F1" s="2"/>
      <c r="G1" s="2"/>
      <c r="H1" s="2"/>
      <c r="I1" s="2"/>
      <c r="J1" s="2"/>
      <c r="K1" s="2"/>
      <c r="L1" s="2"/>
      <c r="M1" s="2"/>
      <c r="N1" s="2"/>
      <c r="O1" s="2"/>
      <c r="P1" s="2"/>
    </row>
    <row r="2" spans="1:16" x14ac:dyDescent="0.35">
      <c r="A2" s="2"/>
      <c r="B2" s="2"/>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2"/>
      <c r="C4" s="2"/>
      <c r="D4" s="2"/>
      <c r="E4" s="2"/>
      <c r="F4" s="2"/>
      <c r="G4" s="2"/>
      <c r="H4" s="2"/>
      <c r="I4" s="2"/>
      <c r="J4" s="2"/>
      <c r="K4" s="2"/>
      <c r="L4" s="2"/>
      <c r="M4" s="2"/>
      <c r="N4" s="2"/>
      <c r="O4" s="2"/>
      <c r="P4" s="2"/>
    </row>
    <row r="5" spans="1:16" x14ac:dyDescent="0.35">
      <c r="A5" s="2"/>
      <c r="B5" s="2"/>
      <c r="C5" s="2"/>
      <c r="D5" s="2"/>
      <c r="E5" s="2"/>
      <c r="F5" s="2"/>
      <c r="G5" s="14"/>
      <c r="H5" s="2"/>
      <c r="I5" s="2"/>
      <c r="J5" s="2"/>
      <c r="K5" s="2"/>
      <c r="L5" s="2"/>
      <c r="M5" s="2"/>
      <c r="N5" s="2"/>
      <c r="O5" s="2"/>
      <c r="P5" s="2"/>
    </row>
    <row r="6" spans="1:16" x14ac:dyDescent="0.35">
      <c r="A6" s="2"/>
      <c r="B6" s="2"/>
      <c r="C6" s="2"/>
      <c r="D6" s="2"/>
      <c r="E6" s="2"/>
      <c r="F6" s="2"/>
      <c r="G6" s="2"/>
      <c r="H6" s="2"/>
      <c r="I6" s="2"/>
      <c r="J6" s="2"/>
      <c r="K6" s="2"/>
      <c r="L6" s="2"/>
      <c r="M6" s="2"/>
      <c r="N6" s="2"/>
      <c r="O6" s="2"/>
      <c r="P6" s="2"/>
    </row>
    <row r="7" spans="1:16" x14ac:dyDescent="0.35">
      <c r="A7" s="2"/>
      <c r="B7" s="2"/>
      <c r="C7" s="2"/>
      <c r="D7" s="2"/>
      <c r="E7" s="2"/>
      <c r="F7" s="2"/>
      <c r="G7" s="2"/>
      <c r="H7" s="2"/>
      <c r="I7" s="2"/>
      <c r="J7" s="2"/>
      <c r="K7" s="2"/>
      <c r="L7" s="2"/>
      <c r="M7" s="2"/>
      <c r="N7" s="2"/>
      <c r="O7" s="2"/>
      <c r="P7" s="2"/>
    </row>
    <row r="8" spans="1:16" x14ac:dyDescent="0.35">
      <c r="A8" s="2"/>
      <c r="B8" s="2"/>
      <c r="C8" s="2"/>
      <c r="D8" s="2"/>
      <c r="E8" s="2"/>
      <c r="F8" s="2"/>
      <c r="G8" s="2"/>
      <c r="H8" s="2"/>
      <c r="I8" s="2"/>
      <c r="J8" s="2"/>
      <c r="K8" s="2"/>
      <c r="L8" s="2"/>
      <c r="M8" s="2"/>
      <c r="N8" s="2"/>
      <c r="O8" s="2"/>
      <c r="P8" s="2"/>
    </row>
    <row r="9" spans="1:16" x14ac:dyDescent="0.35">
      <c r="A9" s="2"/>
      <c r="B9" s="2"/>
      <c r="C9" s="2"/>
      <c r="D9" s="2"/>
      <c r="E9" s="2"/>
      <c r="F9" s="2"/>
      <c r="G9" s="2"/>
      <c r="H9" s="2"/>
      <c r="I9" s="2"/>
      <c r="J9" s="2"/>
      <c r="K9" s="2"/>
      <c r="L9" s="2"/>
      <c r="M9" s="2"/>
      <c r="N9" s="2"/>
      <c r="O9" s="2"/>
      <c r="P9" s="2"/>
    </row>
    <row r="10" spans="1:16" x14ac:dyDescent="0.35">
      <c r="A10" s="2"/>
      <c r="B10" s="2"/>
      <c r="C10" s="2"/>
      <c r="D10" s="2"/>
      <c r="E10" s="2"/>
      <c r="F10" s="2"/>
      <c r="G10" s="2"/>
      <c r="H10" s="2"/>
      <c r="I10" s="2"/>
      <c r="J10" s="2"/>
      <c r="K10" s="2"/>
      <c r="L10" s="2"/>
      <c r="M10" s="2"/>
      <c r="N10" s="2"/>
      <c r="O10" s="2"/>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2"/>
      <c r="C13" s="2"/>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2"/>
      <c r="C15" s="2"/>
      <c r="D15" s="2"/>
      <c r="E15" s="2"/>
      <c r="F15" s="2"/>
      <c r="G15" s="2"/>
      <c r="H15" s="2"/>
      <c r="I15" s="2"/>
      <c r="J15" s="2"/>
      <c r="K15" s="2"/>
      <c r="L15" s="2"/>
      <c r="M15" s="2"/>
      <c r="N15" s="2"/>
      <c r="O15" s="2"/>
      <c r="P15" s="2"/>
    </row>
    <row r="16" spans="1:16" x14ac:dyDescent="0.35">
      <c r="A16" s="2"/>
      <c r="B16" s="2"/>
      <c r="C16" s="2"/>
      <c r="D16" s="2"/>
      <c r="E16" s="2"/>
      <c r="F16" s="2"/>
      <c r="G16" s="2"/>
      <c r="H16" s="2"/>
      <c r="I16" s="2"/>
      <c r="J16" s="2"/>
      <c r="K16" s="2"/>
      <c r="L16" s="2"/>
      <c r="M16" s="2"/>
      <c r="N16" s="2"/>
      <c r="O16" s="2"/>
      <c r="P16" s="2"/>
    </row>
    <row r="17" spans="1:16" x14ac:dyDescent="0.35">
      <c r="A17" s="2"/>
      <c r="B17" s="2"/>
      <c r="C17" s="2"/>
      <c r="D17" s="2"/>
      <c r="E17" s="2"/>
      <c r="F17" s="2"/>
      <c r="G17" s="2"/>
      <c r="H17" s="2"/>
      <c r="I17" s="2"/>
      <c r="J17" s="2"/>
      <c r="K17" s="2"/>
      <c r="L17" s="2"/>
      <c r="M17" s="2"/>
      <c r="N17" s="2"/>
      <c r="O17" s="2"/>
      <c r="P17" s="2"/>
    </row>
    <row r="18" spans="1:16" x14ac:dyDescent="0.35">
      <c r="A18" s="2"/>
      <c r="B18" s="2"/>
      <c r="C18" s="2"/>
      <c r="D18" s="2"/>
      <c r="E18" s="2"/>
      <c r="F18" s="2"/>
      <c r="G18" s="2"/>
      <c r="H18" s="2"/>
      <c r="I18" s="2"/>
      <c r="J18" s="2"/>
      <c r="K18" s="2"/>
      <c r="L18" s="2"/>
      <c r="M18" s="2"/>
      <c r="N18" s="2"/>
      <c r="O18" s="2"/>
      <c r="P18" s="2"/>
    </row>
    <row r="19" spans="1:16" x14ac:dyDescent="0.35">
      <c r="A19" s="2"/>
      <c r="B19" s="2"/>
      <c r="C19" s="2"/>
      <c r="D19" s="2"/>
      <c r="E19" s="2"/>
      <c r="F19" s="2"/>
      <c r="G19" s="2"/>
      <c r="H19" s="2"/>
      <c r="I19" s="2"/>
      <c r="J19" s="2"/>
      <c r="K19" s="2"/>
      <c r="L19" s="2"/>
      <c r="M19" s="2"/>
      <c r="N19" s="2"/>
      <c r="O19" s="2"/>
      <c r="P19" s="2"/>
    </row>
    <row r="20" spans="1:16" x14ac:dyDescent="0.35">
      <c r="A20" s="2"/>
      <c r="B20" s="2"/>
      <c r="C20" s="2"/>
      <c r="D20" s="2"/>
      <c r="E20" s="2"/>
      <c r="F20" s="2"/>
      <c r="G20" s="2"/>
      <c r="H20" s="2"/>
      <c r="I20" s="2"/>
      <c r="J20" s="2"/>
      <c r="K20" s="2"/>
      <c r="L20" s="2"/>
      <c r="M20" s="2"/>
      <c r="N20" s="2"/>
      <c r="O20" s="2"/>
      <c r="P20" s="2"/>
    </row>
    <row r="21" spans="1:16" x14ac:dyDescent="0.35">
      <c r="A21" s="2"/>
      <c r="B21" s="2"/>
      <c r="C21" s="2"/>
      <c r="D21" s="2"/>
      <c r="E21" s="2"/>
      <c r="F21" s="2"/>
      <c r="G21" s="2"/>
      <c r="H21" s="2"/>
      <c r="I21" s="2"/>
      <c r="J21" s="2"/>
      <c r="K21" s="2"/>
      <c r="L21" s="2"/>
      <c r="M21" s="2"/>
      <c r="N21" s="2"/>
      <c r="O21" s="2"/>
      <c r="P21" s="2"/>
    </row>
    <row r="22" spans="1:16" x14ac:dyDescent="0.35">
      <c r="A22" s="2"/>
      <c r="B22" s="2"/>
      <c r="C22" s="2"/>
      <c r="D22" s="2"/>
      <c r="E22" s="2"/>
      <c r="F22" s="2"/>
      <c r="G22" s="2"/>
      <c r="H22" s="2"/>
      <c r="I22" s="2"/>
      <c r="J22" s="2"/>
      <c r="K22" s="2"/>
      <c r="L22" s="2"/>
      <c r="M22" s="2"/>
      <c r="N22" s="2"/>
      <c r="O22" s="2"/>
      <c r="P22" s="2"/>
    </row>
    <row r="23" spans="1:16" x14ac:dyDescent="0.35">
      <c r="A23" s="2"/>
      <c r="B23" s="2"/>
      <c r="C23" s="2"/>
      <c r="D23" s="2"/>
      <c r="E23" s="2"/>
      <c r="F23" s="2"/>
      <c r="G23" s="2"/>
      <c r="H23" s="2"/>
      <c r="I23" s="2"/>
      <c r="J23" s="2"/>
      <c r="K23" s="2"/>
      <c r="L23" s="2"/>
      <c r="M23" s="2"/>
      <c r="N23" s="2"/>
      <c r="O23" s="2"/>
      <c r="P23" s="2"/>
    </row>
    <row r="24" spans="1:16" x14ac:dyDescent="0.35">
      <c r="A24" s="2"/>
      <c r="B24" s="2"/>
      <c r="C24" s="2"/>
      <c r="D24" s="2"/>
      <c r="E24" s="2"/>
      <c r="F24" s="2"/>
      <c r="G24" s="2"/>
      <c r="H24" s="2"/>
      <c r="I24" s="2"/>
      <c r="J24" s="2"/>
      <c r="K24" s="2"/>
      <c r="L24" s="2"/>
      <c r="M24" s="2"/>
      <c r="N24" s="2"/>
      <c r="O24" s="2"/>
      <c r="P24" s="2"/>
    </row>
    <row r="25" spans="1:16" x14ac:dyDescent="0.35">
      <c r="A25" s="2"/>
      <c r="B25" s="2"/>
      <c r="C25" s="2"/>
      <c r="D25" s="2"/>
      <c r="E25" s="2"/>
      <c r="F25" s="2"/>
      <c r="G25" s="2"/>
      <c r="H25" s="2"/>
      <c r="I25" s="2"/>
      <c r="J25" s="2"/>
      <c r="K25" s="2"/>
      <c r="L25" s="2"/>
      <c r="M25" s="2"/>
      <c r="N25" s="2"/>
      <c r="O25" s="2"/>
      <c r="P25" s="2"/>
    </row>
    <row r="26" spans="1:16" x14ac:dyDescent="0.35">
      <c r="A26" s="2"/>
      <c r="B26" s="2"/>
      <c r="C26" s="2"/>
      <c r="D26" s="2"/>
      <c r="E26" s="2"/>
      <c r="F26" s="2"/>
      <c r="G26" s="2"/>
      <c r="H26" s="2"/>
      <c r="I26" s="2"/>
      <c r="J26" s="2"/>
      <c r="K26" s="2"/>
      <c r="L26" s="2"/>
      <c r="M26" s="2"/>
      <c r="N26" s="2"/>
      <c r="O26" s="2"/>
      <c r="P26" s="2"/>
    </row>
    <row r="27" spans="1:16" x14ac:dyDescent="0.35">
      <c r="A27" s="2"/>
      <c r="B27" s="2"/>
      <c r="C27" s="2"/>
      <c r="D27" s="2"/>
      <c r="E27" s="2"/>
      <c r="F27" s="2"/>
      <c r="G27" s="2"/>
      <c r="H27" s="2"/>
      <c r="I27" s="2"/>
      <c r="J27" s="2"/>
      <c r="K27" s="2"/>
      <c r="L27" s="2"/>
      <c r="M27" s="2"/>
      <c r="N27" s="2"/>
      <c r="O27" s="2"/>
      <c r="P27" s="2"/>
    </row>
    <row r="28" spans="1:16" x14ac:dyDescent="0.35">
      <c r="A28" s="2"/>
      <c r="B28" s="2"/>
      <c r="C28" s="2"/>
      <c r="D28" s="2"/>
      <c r="E28" s="2"/>
      <c r="F28" s="2"/>
      <c r="G28" s="2"/>
      <c r="H28" s="2"/>
      <c r="I28" s="2"/>
      <c r="J28" s="2"/>
      <c r="K28" s="2"/>
      <c r="L28" s="2"/>
      <c r="M28" s="2"/>
      <c r="N28" s="2"/>
      <c r="O28" s="2"/>
      <c r="P28" s="2"/>
    </row>
    <row r="29" spans="1:16" x14ac:dyDescent="0.35">
      <c r="A29" s="2"/>
      <c r="B29" s="2"/>
      <c r="C29" s="2"/>
      <c r="D29" s="2"/>
      <c r="E29" s="2"/>
      <c r="F29" s="2"/>
      <c r="G29" s="2"/>
      <c r="H29" s="2"/>
      <c r="I29" s="2"/>
      <c r="J29" s="2"/>
      <c r="K29" s="2"/>
      <c r="L29" s="2"/>
      <c r="M29" s="2"/>
      <c r="N29" s="2"/>
      <c r="O29" s="2"/>
      <c r="P29" s="2"/>
    </row>
    <row r="30" spans="1:16" x14ac:dyDescent="0.35">
      <c r="A30" s="2"/>
      <c r="B30" s="2"/>
      <c r="C30" s="2"/>
      <c r="D30" s="2"/>
      <c r="E30" s="2"/>
      <c r="F30" s="2"/>
      <c r="G30" s="2"/>
      <c r="H30" s="2"/>
      <c r="I30" s="2"/>
      <c r="J30" s="2"/>
      <c r="K30" s="2"/>
      <c r="L30" s="2"/>
      <c r="M30" s="2"/>
      <c r="N30" s="2"/>
      <c r="O30" s="2"/>
      <c r="P30" s="2"/>
    </row>
    <row r="31" spans="1:16" x14ac:dyDescent="0.35">
      <c r="A31" s="2"/>
      <c r="B31" s="2"/>
      <c r="C31" s="2"/>
      <c r="D31" s="2"/>
      <c r="E31" s="2"/>
      <c r="F31" s="2"/>
      <c r="G31" s="2"/>
      <c r="H31" s="2"/>
      <c r="I31" s="2"/>
      <c r="J31" s="2"/>
      <c r="K31" s="2"/>
      <c r="L31" s="2"/>
      <c r="M31" s="2"/>
      <c r="N31" s="2"/>
      <c r="O31" s="2"/>
      <c r="P31" s="2"/>
    </row>
    <row r="32" spans="1:16" x14ac:dyDescent="0.35">
      <c r="A32" s="2"/>
      <c r="B32" s="2"/>
      <c r="C32" s="2"/>
      <c r="D32" s="2"/>
      <c r="E32" s="2"/>
      <c r="F32" s="2"/>
      <c r="G32" s="2"/>
      <c r="H32" s="2"/>
      <c r="I32" s="2"/>
      <c r="J32" s="2"/>
      <c r="K32" s="2"/>
      <c r="L32" s="2"/>
      <c r="M32" s="2"/>
      <c r="N32" s="2"/>
      <c r="O32" s="2"/>
      <c r="P32" s="2"/>
    </row>
    <row r="33" spans="1:16" x14ac:dyDescent="0.35">
      <c r="A33" s="2"/>
      <c r="B33" s="2"/>
      <c r="C33" s="2"/>
      <c r="D33" s="2"/>
      <c r="E33" s="2"/>
      <c r="F33" s="2"/>
      <c r="G33" s="2"/>
      <c r="H33" s="2"/>
      <c r="I33" s="2"/>
      <c r="J33" s="2"/>
      <c r="K33" s="2"/>
      <c r="L33" s="2"/>
      <c r="M33" s="2"/>
      <c r="N33" s="2"/>
      <c r="O33" s="2"/>
      <c r="P33" s="2"/>
    </row>
    <row r="34" spans="1:16" x14ac:dyDescent="0.35">
      <c r="A34" s="2"/>
      <c r="B34" s="2"/>
      <c r="C34" s="2"/>
      <c r="D34" s="2"/>
      <c r="E34" s="2"/>
      <c r="F34" s="2"/>
      <c r="G34" s="2"/>
      <c r="H34" s="2"/>
      <c r="I34" s="2"/>
      <c r="J34" s="2"/>
      <c r="K34" s="2"/>
      <c r="L34" s="2"/>
      <c r="M34" s="2"/>
      <c r="N34" s="2"/>
      <c r="O34" s="2"/>
      <c r="P34" s="2"/>
    </row>
    <row r="35" spans="1:16" x14ac:dyDescent="0.35">
      <c r="A35" s="2"/>
      <c r="B35" s="2"/>
      <c r="C35" s="2"/>
      <c r="D35" s="2"/>
      <c r="E35" s="2"/>
      <c r="F35" s="2"/>
      <c r="G35" s="2"/>
      <c r="H35" s="2"/>
      <c r="I35" s="2"/>
      <c r="J35" s="2"/>
      <c r="K35" s="2"/>
      <c r="L35" s="2"/>
      <c r="M35" s="2"/>
      <c r="N35" s="2"/>
      <c r="O35" s="2"/>
      <c r="P35" s="2"/>
    </row>
    <row r="36" spans="1:16" x14ac:dyDescent="0.35">
      <c r="A36" s="2"/>
      <c r="B36" s="2"/>
      <c r="C36" s="2"/>
      <c r="D36" s="2"/>
      <c r="E36" s="2"/>
      <c r="F36" s="2"/>
      <c r="G36" s="2"/>
      <c r="H36" s="2"/>
      <c r="I36" s="2"/>
      <c r="J36" s="2"/>
      <c r="K36" s="2"/>
      <c r="L36" s="2"/>
      <c r="M36" s="2"/>
      <c r="N36" s="2"/>
      <c r="O36" s="2"/>
      <c r="P36" s="2"/>
    </row>
    <row r="37" spans="1:16" x14ac:dyDescent="0.35">
      <c r="A37" s="2"/>
      <c r="B37" s="2"/>
      <c r="C37" s="2"/>
      <c r="D37" s="2"/>
      <c r="E37" s="2"/>
      <c r="F37" s="2"/>
      <c r="G37" s="2"/>
      <c r="H37" s="2"/>
      <c r="I37" s="2"/>
      <c r="J37" s="2"/>
      <c r="K37" s="2"/>
      <c r="L37" s="2"/>
      <c r="M37" s="2"/>
      <c r="N37" s="2"/>
      <c r="O37" s="2"/>
      <c r="P37" s="2"/>
    </row>
    <row r="38" spans="1:16" x14ac:dyDescent="0.35">
      <c r="A38" s="2"/>
      <c r="B38" s="2"/>
      <c r="C38" s="2"/>
      <c r="D38" s="2"/>
      <c r="E38" s="2"/>
      <c r="F38" s="2"/>
      <c r="G38" s="2"/>
      <c r="H38" s="2"/>
      <c r="I38" s="2"/>
      <c r="J38" s="2"/>
      <c r="K38" s="2"/>
      <c r="L38" s="2"/>
      <c r="M38" s="2"/>
      <c r="N38" s="2"/>
      <c r="O38" s="2"/>
      <c r="P38" s="2"/>
    </row>
    <row r="39" spans="1:16" x14ac:dyDescent="0.35">
      <c r="A39" s="2"/>
      <c r="B39" s="2"/>
      <c r="C39" s="2"/>
      <c r="D39" s="2"/>
      <c r="E39" s="2"/>
      <c r="F39" s="2"/>
      <c r="G39" s="2"/>
      <c r="H39" s="2"/>
      <c r="I39" s="2"/>
      <c r="J39" s="2"/>
      <c r="K39" s="2"/>
      <c r="L39" s="2"/>
      <c r="M39" s="2"/>
      <c r="N39" s="2"/>
      <c r="O39" s="2"/>
      <c r="P39" s="2"/>
    </row>
    <row r="40" spans="1:16" x14ac:dyDescent="0.35">
      <c r="A40" s="2"/>
      <c r="B40" s="2"/>
      <c r="C40" s="2"/>
      <c r="D40" s="2"/>
      <c r="E40" s="2"/>
      <c r="F40" s="2"/>
      <c r="G40" s="2"/>
      <c r="H40" s="2"/>
      <c r="I40" s="2"/>
      <c r="J40" s="2"/>
      <c r="K40" s="2"/>
      <c r="L40" s="2"/>
      <c r="M40" s="2"/>
      <c r="N40" s="2"/>
      <c r="O40" s="2"/>
      <c r="P40" s="2"/>
    </row>
    <row r="41" spans="1:16" x14ac:dyDescent="0.35">
      <c r="A41" s="2"/>
      <c r="B41" s="2"/>
      <c r="C41" s="2"/>
      <c r="D41" s="2"/>
      <c r="E41" s="2"/>
      <c r="F41" s="2"/>
      <c r="G41" s="2"/>
      <c r="H41" s="2"/>
      <c r="I41" s="2"/>
      <c r="J41" s="2"/>
      <c r="K41" s="2"/>
      <c r="L41" s="2"/>
      <c r="M41" s="2"/>
      <c r="N41" s="2"/>
      <c r="O41" s="2"/>
      <c r="P41" s="2"/>
    </row>
    <row r="42" spans="1:16" x14ac:dyDescent="0.35">
      <c r="A42" s="2"/>
      <c r="B42" s="2"/>
      <c r="C42" s="2"/>
      <c r="D42" s="2"/>
      <c r="E42" s="2"/>
      <c r="F42" s="2"/>
      <c r="G42" s="2"/>
      <c r="H42" s="2"/>
      <c r="I42" s="2"/>
      <c r="J42" s="2"/>
      <c r="K42" s="2"/>
      <c r="L42" s="2"/>
      <c r="M42" s="2"/>
      <c r="N42" s="2"/>
      <c r="O42" s="2"/>
      <c r="P42" s="2"/>
    </row>
    <row r="43" spans="1:16" x14ac:dyDescent="0.35">
      <c r="A43" s="2"/>
      <c r="B43" s="2"/>
      <c r="C43" s="2"/>
      <c r="D43" s="2"/>
      <c r="E43" s="2"/>
      <c r="F43" s="2"/>
      <c r="G43" s="2"/>
      <c r="H43" s="2"/>
      <c r="I43" s="2"/>
      <c r="J43" s="2"/>
      <c r="K43" s="2"/>
      <c r="L43" s="2"/>
      <c r="M43" s="2"/>
      <c r="N43" s="2"/>
      <c r="O43" s="2"/>
      <c r="P43" s="2"/>
    </row>
    <row r="44" spans="1:16" x14ac:dyDescent="0.35">
      <c r="A44" s="2"/>
      <c r="B44" s="2"/>
      <c r="C44" s="2"/>
      <c r="D44" s="2"/>
      <c r="E44" s="2"/>
      <c r="F44" s="2"/>
      <c r="G44" s="2"/>
      <c r="H44" s="2"/>
      <c r="I44" s="2"/>
      <c r="J44" s="2"/>
      <c r="K44" s="2"/>
      <c r="L44" s="2"/>
      <c r="M44" s="2"/>
      <c r="N44" s="2"/>
      <c r="O44" s="2"/>
      <c r="P44" s="2"/>
    </row>
    <row r="45" spans="1:16" x14ac:dyDescent="0.35">
      <c r="A45" s="2"/>
      <c r="B45" s="2"/>
      <c r="C45" s="2"/>
      <c r="D45" s="2"/>
      <c r="E45" s="2"/>
      <c r="F45" s="2"/>
      <c r="G45" s="2"/>
      <c r="H45" s="2"/>
      <c r="I45" s="2"/>
      <c r="J45" s="2"/>
      <c r="K45" s="2"/>
      <c r="L45" s="2"/>
      <c r="M45" s="2"/>
      <c r="N45" s="2"/>
      <c r="O45" s="2"/>
      <c r="P45" s="2"/>
    </row>
    <row r="46" spans="1:16" x14ac:dyDescent="0.35">
      <c r="A46" s="2"/>
      <c r="B46" s="2"/>
      <c r="C46" s="2"/>
      <c r="D46" s="2"/>
      <c r="E46" s="2"/>
      <c r="F46" s="2"/>
      <c r="G46" s="2"/>
      <c r="H46" s="2"/>
      <c r="I46" s="2"/>
      <c r="J46" s="2"/>
      <c r="K46" s="2"/>
      <c r="L46" s="2"/>
      <c r="M46" s="2"/>
      <c r="N46" s="2"/>
      <c r="O46" s="2"/>
      <c r="P46" s="2"/>
    </row>
    <row r="47" spans="1:16" x14ac:dyDescent="0.35">
      <c r="A47" s="2"/>
      <c r="B47" s="2"/>
      <c r="C47" s="2"/>
      <c r="D47" s="2"/>
      <c r="E47" s="2"/>
      <c r="F47" s="2"/>
      <c r="G47" s="2"/>
      <c r="H47" s="2"/>
      <c r="I47" s="2"/>
      <c r="J47" s="2"/>
      <c r="K47" s="2"/>
      <c r="L47" s="2"/>
      <c r="M47" s="2"/>
      <c r="N47" s="2"/>
      <c r="O47" s="2"/>
      <c r="P47"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A78B-247B-4EDE-A7BD-E5E5CB91AEFA}">
  <dimension ref="A1:M23"/>
  <sheetViews>
    <sheetView workbookViewId="0"/>
  </sheetViews>
  <sheetFormatPr defaultRowHeight="14.5" x14ac:dyDescent="0.35"/>
  <sheetData>
    <row r="1" spans="1:13" x14ac:dyDescent="0.35">
      <c r="A1" s="6"/>
      <c r="B1" s="6"/>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6"/>
      <c r="B3" s="6"/>
      <c r="C3" s="6"/>
      <c r="D3" s="6"/>
      <c r="E3" s="6"/>
      <c r="F3" s="6"/>
      <c r="G3" s="6"/>
      <c r="H3" s="6"/>
      <c r="I3" s="6"/>
      <c r="J3" s="6"/>
      <c r="K3" s="6"/>
      <c r="L3" s="6"/>
      <c r="M3" s="6"/>
    </row>
    <row r="4" spans="1:13" x14ac:dyDescent="0.35">
      <c r="A4" s="6"/>
      <c r="B4" s="6"/>
      <c r="C4" s="6"/>
      <c r="D4" s="6"/>
      <c r="E4" s="6"/>
      <c r="F4" s="6"/>
      <c r="G4" s="6"/>
      <c r="H4" s="6"/>
      <c r="I4" s="6"/>
      <c r="J4" s="6"/>
      <c r="K4" s="6"/>
      <c r="L4" s="6"/>
      <c r="M4" s="6"/>
    </row>
    <row r="5" spans="1:13" x14ac:dyDescent="0.35">
      <c r="A5" s="6"/>
      <c r="B5" s="6"/>
      <c r="C5" s="6"/>
      <c r="D5" s="6"/>
      <c r="E5" s="6"/>
      <c r="F5" s="6"/>
      <c r="G5" s="6"/>
      <c r="H5" s="6"/>
      <c r="I5" s="6"/>
      <c r="J5" s="6"/>
      <c r="K5" s="6"/>
      <c r="L5" s="6"/>
      <c r="M5" s="6"/>
    </row>
    <row r="6" spans="1:13" x14ac:dyDescent="0.35">
      <c r="A6" s="6"/>
      <c r="B6" s="6"/>
      <c r="C6" s="6"/>
      <c r="D6" s="6"/>
      <c r="E6" s="6"/>
      <c r="F6" s="6"/>
      <c r="G6" s="6"/>
      <c r="H6" s="6"/>
      <c r="I6" s="6"/>
      <c r="J6" s="6"/>
      <c r="K6" s="6"/>
      <c r="L6" s="6"/>
      <c r="M6" s="6"/>
    </row>
    <row r="7" spans="1:13" x14ac:dyDescent="0.35">
      <c r="A7" s="6"/>
      <c r="B7" s="6"/>
      <c r="C7" s="6"/>
      <c r="D7" s="6"/>
      <c r="E7" s="6"/>
      <c r="F7" s="6"/>
      <c r="G7" s="6"/>
      <c r="H7" s="6"/>
      <c r="I7" s="6"/>
      <c r="J7" s="6"/>
      <c r="K7" s="6"/>
      <c r="L7" s="6"/>
      <c r="M7" s="6"/>
    </row>
    <row r="8" spans="1:13" x14ac:dyDescent="0.35">
      <c r="A8" s="6"/>
      <c r="B8" s="6"/>
      <c r="C8" s="6"/>
      <c r="D8" s="6"/>
      <c r="E8" s="6"/>
      <c r="F8" s="6"/>
      <c r="G8" s="6"/>
      <c r="H8" s="6"/>
      <c r="I8" s="6"/>
      <c r="J8" s="6"/>
      <c r="K8" s="6"/>
      <c r="L8" s="6"/>
      <c r="M8" s="6"/>
    </row>
    <row r="9" spans="1:13" x14ac:dyDescent="0.35">
      <c r="A9" s="6"/>
      <c r="B9" s="6"/>
      <c r="C9" s="6"/>
      <c r="D9" s="6"/>
      <c r="E9" s="6"/>
      <c r="F9" s="6"/>
      <c r="G9" s="6"/>
      <c r="H9" s="6"/>
      <c r="I9" s="6"/>
      <c r="J9" s="6"/>
      <c r="K9" s="6"/>
      <c r="L9" s="6"/>
      <c r="M9" s="6"/>
    </row>
    <row r="10" spans="1:13" x14ac:dyDescent="0.35">
      <c r="A10" s="6"/>
      <c r="B10" s="6"/>
      <c r="C10" s="6"/>
      <c r="D10" s="6"/>
      <c r="E10" s="6"/>
      <c r="F10" s="6"/>
      <c r="G10" s="6"/>
      <c r="H10" s="6"/>
      <c r="I10" s="6"/>
      <c r="J10" s="6"/>
      <c r="K10" s="6"/>
      <c r="L10" s="6"/>
      <c r="M10" s="6"/>
    </row>
    <row r="11" spans="1:13" x14ac:dyDescent="0.35">
      <c r="A11" s="6"/>
      <c r="B11" s="6"/>
      <c r="C11" s="6"/>
      <c r="D11" s="6"/>
      <c r="E11" s="6"/>
      <c r="F11" s="6"/>
      <c r="G11" s="6"/>
      <c r="H11" s="6"/>
      <c r="I11" s="6"/>
      <c r="J11" s="6"/>
      <c r="K11" s="6"/>
      <c r="L11" s="6"/>
      <c r="M11" s="6"/>
    </row>
    <row r="12" spans="1:13" x14ac:dyDescent="0.35">
      <c r="A12" s="6"/>
      <c r="B12" s="6"/>
      <c r="C12" s="6"/>
      <c r="D12" s="6"/>
      <c r="E12" s="6"/>
      <c r="F12" s="6"/>
      <c r="G12" s="6"/>
      <c r="H12" s="6"/>
      <c r="I12" s="6"/>
      <c r="J12" s="6"/>
      <c r="K12" s="6"/>
      <c r="L12" s="6"/>
      <c r="M12" s="6"/>
    </row>
    <row r="13" spans="1:13" x14ac:dyDescent="0.35">
      <c r="A13" s="6"/>
      <c r="B13" s="6"/>
      <c r="C13" s="6"/>
      <c r="D13" s="6"/>
      <c r="E13" s="6"/>
      <c r="F13" s="6"/>
      <c r="G13" s="6"/>
      <c r="H13" s="6"/>
      <c r="I13" s="6"/>
      <c r="J13" s="6"/>
      <c r="K13" s="6"/>
      <c r="L13" s="6"/>
      <c r="M13" s="6"/>
    </row>
    <row r="14" spans="1:13" x14ac:dyDescent="0.35">
      <c r="A14" s="6"/>
      <c r="B14" s="6"/>
      <c r="C14" s="6"/>
      <c r="D14" s="6"/>
      <c r="E14" s="6"/>
      <c r="F14" s="6"/>
      <c r="G14" s="6"/>
      <c r="H14" s="6"/>
      <c r="I14" s="6"/>
      <c r="J14" s="6"/>
      <c r="K14" s="6"/>
      <c r="L14" s="6"/>
      <c r="M14" s="6"/>
    </row>
    <row r="15" spans="1:13" x14ac:dyDescent="0.35">
      <c r="A15" s="6"/>
      <c r="B15" s="6"/>
      <c r="C15" s="6"/>
      <c r="D15" s="6"/>
      <c r="E15" s="6"/>
      <c r="F15" s="6"/>
      <c r="G15" s="6"/>
      <c r="H15" s="6"/>
      <c r="I15" s="6"/>
      <c r="J15" s="6"/>
      <c r="K15" s="6"/>
      <c r="L15" s="6"/>
      <c r="M15" s="6"/>
    </row>
    <row r="16" spans="1:13" x14ac:dyDescent="0.35">
      <c r="A16" s="6"/>
      <c r="B16" s="6"/>
      <c r="C16" s="6"/>
      <c r="D16" s="6"/>
      <c r="E16" s="6"/>
      <c r="F16" s="6"/>
      <c r="G16" s="6"/>
      <c r="H16" s="6"/>
      <c r="I16" s="6"/>
      <c r="J16" s="6"/>
      <c r="K16" s="6"/>
      <c r="L16" s="6"/>
      <c r="M16" s="6"/>
    </row>
    <row r="17" spans="1:13" x14ac:dyDescent="0.35">
      <c r="A17" s="6"/>
      <c r="B17" s="6"/>
      <c r="C17" s="6"/>
      <c r="D17" s="6"/>
      <c r="E17" s="6"/>
      <c r="F17" s="6"/>
      <c r="G17" s="6"/>
      <c r="H17" s="6"/>
      <c r="I17" s="6"/>
      <c r="J17" s="6"/>
      <c r="K17" s="6"/>
      <c r="L17" s="6"/>
      <c r="M17" s="6"/>
    </row>
    <row r="18" spans="1:13" x14ac:dyDescent="0.35">
      <c r="A18" s="6"/>
      <c r="B18" s="6"/>
      <c r="C18" s="6"/>
      <c r="D18" s="6"/>
      <c r="E18" s="6"/>
      <c r="F18" s="6"/>
      <c r="G18" s="6"/>
      <c r="H18" s="6"/>
      <c r="I18" s="6"/>
      <c r="J18" s="6"/>
      <c r="K18" s="6"/>
      <c r="L18" s="6"/>
      <c r="M18" s="6"/>
    </row>
    <row r="19" spans="1:13" x14ac:dyDescent="0.35">
      <c r="A19" s="6"/>
      <c r="B19" s="6"/>
      <c r="C19" s="6"/>
      <c r="D19" s="6"/>
      <c r="E19" s="6"/>
      <c r="F19" s="6"/>
      <c r="G19" s="6"/>
      <c r="H19" s="6"/>
      <c r="I19" s="6"/>
      <c r="J19" s="6"/>
      <c r="K19" s="6"/>
      <c r="L19" s="6"/>
      <c r="M19" s="6"/>
    </row>
    <row r="20" spans="1:13" x14ac:dyDescent="0.35">
      <c r="A20" s="6"/>
      <c r="B20" s="6"/>
      <c r="C20" s="6"/>
      <c r="D20" s="6"/>
      <c r="E20" s="6"/>
      <c r="F20" s="6"/>
      <c r="G20" s="6"/>
      <c r="H20" s="6"/>
      <c r="I20" s="6"/>
      <c r="J20" s="6"/>
      <c r="K20" s="6"/>
      <c r="L20" s="6"/>
      <c r="M20" s="6"/>
    </row>
    <row r="21" spans="1:13" x14ac:dyDescent="0.35">
      <c r="A21" s="6"/>
      <c r="B21" s="6"/>
      <c r="C21" s="6"/>
      <c r="D21" s="6"/>
      <c r="E21" s="6"/>
      <c r="F21" s="6"/>
      <c r="G21" s="6"/>
      <c r="H21" s="6"/>
      <c r="I21" s="6"/>
      <c r="J21" s="6"/>
      <c r="K21" s="6"/>
      <c r="L21" s="6"/>
      <c r="M21" s="6"/>
    </row>
    <row r="22" spans="1:13" x14ac:dyDescent="0.35">
      <c r="A22" s="6"/>
      <c r="B22" s="6"/>
      <c r="C22" s="6"/>
      <c r="D22" s="6"/>
      <c r="E22" s="6"/>
      <c r="F22" s="6"/>
      <c r="G22" s="6"/>
      <c r="H22" s="6"/>
      <c r="I22" s="6"/>
      <c r="J22" s="6"/>
      <c r="K22" s="6"/>
      <c r="L22" s="6"/>
      <c r="M22" s="6"/>
    </row>
    <row r="23" spans="1:13" x14ac:dyDescent="0.35">
      <c r="A23" s="6"/>
      <c r="B23" s="6"/>
      <c r="C23" s="6"/>
      <c r="D23" s="6"/>
      <c r="E23" s="6"/>
      <c r="F23" s="6"/>
      <c r="G23" s="6"/>
      <c r="H23" s="6"/>
      <c r="I23" s="6"/>
      <c r="J23" s="6"/>
      <c r="K23" s="6"/>
      <c r="L23" s="6"/>
      <c r="M2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9A1A0-A4FF-48DE-9B9B-31A640B6B031}">
  <dimension ref="A1:N27"/>
  <sheetViews>
    <sheetView workbookViewId="0"/>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row r="21" spans="1:14" x14ac:dyDescent="0.35">
      <c r="A21" s="6"/>
      <c r="B21" s="6"/>
      <c r="C21" s="6"/>
      <c r="D21" s="6"/>
      <c r="E21" s="6"/>
      <c r="F21" s="6"/>
      <c r="G21" s="6"/>
      <c r="H21" s="6"/>
      <c r="I21" s="6"/>
      <c r="J21" s="6"/>
      <c r="K21" s="6"/>
      <c r="L21" s="6"/>
      <c r="M21" s="6"/>
      <c r="N21" s="6"/>
    </row>
    <row r="22" spans="1:14" x14ac:dyDescent="0.35">
      <c r="A22" s="6"/>
      <c r="B22" s="6"/>
      <c r="C22" s="6"/>
      <c r="D22" s="6"/>
      <c r="E22" s="6"/>
      <c r="F22" s="6"/>
      <c r="G22" s="6"/>
      <c r="H22" s="6"/>
      <c r="I22" s="6"/>
      <c r="J22" s="6"/>
      <c r="K22" s="6"/>
      <c r="L22" s="6"/>
      <c r="M22" s="6"/>
      <c r="N22" s="6"/>
    </row>
    <row r="23" spans="1:14" x14ac:dyDescent="0.35">
      <c r="A23" s="6"/>
      <c r="B23" s="6"/>
      <c r="C23" s="6"/>
      <c r="D23" s="6"/>
      <c r="E23" s="6"/>
      <c r="F23" s="6"/>
      <c r="G23" s="6"/>
      <c r="H23" s="6"/>
      <c r="I23" s="6"/>
      <c r="J23" s="6"/>
      <c r="K23" s="6"/>
      <c r="L23" s="6"/>
      <c r="M23" s="6"/>
      <c r="N23" s="6"/>
    </row>
    <row r="24" spans="1:14" x14ac:dyDescent="0.35">
      <c r="A24" s="6"/>
      <c r="B24" s="6"/>
      <c r="C24" s="6"/>
      <c r="D24" s="6"/>
      <c r="E24" s="6"/>
      <c r="F24" s="6"/>
      <c r="G24" s="6"/>
      <c r="H24" s="6"/>
      <c r="I24" s="6"/>
      <c r="J24" s="6"/>
      <c r="K24" s="6"/>
      <c r="L24" s="6"/>
      <c r="M24" s="6"/>
      <c r="N24" s="6"/>
    </row>
    <row r="25" spans="1:14" x14ac:dyDescent="0.35">
      <c r="A25" s="6"/>
      <c r="B25" s="6"/>
      <c r="C25" s="6"/>
      <c r="D25" s="6"/>
      <c r="E25" s="6"/>
      <c r="F25" s="6"/>
      <c r="G25" s="6"/>
      <c r="H25" s="6"/>
      <c r="I25" s="6"/>
      <c r="J25" s="6"/>
      <c r="K25" s="6"/>
      <c r="L25" s="6"/>
      <c r="M25" s="6"/>
      <c r="N25" s="6"/>
    </row>
    <row r="26" spans="1:14" x14ac:dyDescent="0.35">
      <c r="A26" s="6"/>
      <c r="B26" s="6"/>
      <c r="C26" s="6"/>
      <c r="D26" s="6"/>
      <c r="E26" s="6"/>
      <c r="F26" s="6"/>
      <c r="G26" s="6"/>
      <c r="H26" s="6"/>
      <c r="I26" s="6"/>
      <c r="J26" s="6"/>
      <c r="K26" s="6"/>
      <c r="L26" s="6"/>
      <c r="M26" s="6"/>
      <c r="N26" s="6"/>
    </row>
    <row r="27" spans="1:14" x14ac:dyDescent="0.35">
      <c r="A27" s="6"/>
      <c r="B27" s="6"/>
      <c r="C27" s="6"/>
      <c r="D27" s="6"/>
      <c r="E27" s="6"/>
      <c r="F27" s="6"/>
      <c r="G27" s="6"/>
      <c r="H27" s="6"/>
      <c r="I27" s="6"/>
      <c r="J27" s="6"/>
      <c r="K27" s="6"/>
      <c r="L27" s="6"/>
      <c r="M27" s="6"/>
      <c r="N27"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DFBB-0BBA-4643-8DB7-62736197D812}">
  <dimension ref="A1:L21"/>
  <sheetViews>
    <sheetView workbookViewId="0">
      <selection activeCell="B22" sqref="B22"/>
    </sheetView>
  </sheetViews>
  <sheetFormatPr defaultRowHeight="14.5" x14ac:dyDescent="0.35"/>
  <sheetData>
    <row r="1" spans="1:12" x14ac:dyDescent="0.35">
      <c r="A1" s="5"/>
      <c r="B1" s="5"/>
      <c r="C1" s="5"/>
      <c r="D1" s="5"/>
      <c r="E1" s="5"/>
      <c r="F1" s="5"/>
      <c r="G1" s="5"/>
      <c r="H1" s="5"/>
      <c r="I1" s="5"/>
      <c r="J1" s="5"/>
      <c r="K1" s="5"/>
      <c r="L1" s="5"/>
    </row>
    <row r="2" spans="1:12" x14ac:dyDescent="0.35">
      <c r="A2" s="5"/>
      <c r="B2" s="5"/>
      <c r="C2" s="5"/>
      <c r="D2" s="5"/>
      <c r="E2" s="5"/>
      <c r="F2" s="5"/>
      <c r="G2" s="5"/>
      <c r="H2" s="5"/>
      <c r="I2" s="5"/>
      <c r="J2" s="5"/>
      <c r="K2" s="5"/>
      <c r="L2" s="5"/>
    </row>
    <row r="3" spans="1:12" x14ac:dyDescent="0.35">
      <c r="A3" s="5"/>
      <c r="B3" s="5"/>
      <c r="C3" s="5"/>
      <c r="D3" s="5"/>
      <c r="E3" s="5"/>
      <c r="F3" s="5"/>
      <c r="G3" s="5"/>
      <c r="H3" s="5"/>
      <c r="I3" s="5"/>
      <c r="J3" s="5"/>
      <c r="K3" s="5"/>
      <c r="L3" s="5"/>
    </row>
    <row r="4" spans="1:12" x14ac:dyDescent="0.35">
      <c r="A4" s="5"/>
      <c r="B4" s="5"/>
      <c r="C4" s="5"/>
      <c r="D4" s="5"/>
      <c r="E4" s="5"/>
      <c r="F4" s="5"/>
      <c r="G4" s="5"/>
      <c r="H4" s="5"/>
      <c r="I4" s="5"/>
      <c r="J4" s="5"/>
      <c r="K4" s="5"/>
      <c r="L4" s="5"/>
    </row>
    <row r="5" spans="1:12" x14ac:dyDescent="0.35">
      <c r="A5" s="5"/>
      <c r="B5" s="5"/>
      <c r="C5" s="5"/>
      <c r="D5" s="5"/>
      <c r="E5" s="5"/>
      <c r="F5" s="5"/>
      <c r="G5" s="5"/>
      <c r="H5" s="5"/>
      <c r="I5" s="5"/>
      <c r="J5" s="5"/>
      <c r="K5" s="5"/>
      <c r="L5" s="5"/>
    </row>
    <row r="6" spans="1:12" x14ac:dyDescent="0.35">
      <c r="A6" s="5"/>
      <c r="B6" s="5"/>
      <c r="C6" s="5"/>
      <c r="D6" s="5"/>
      <c r="E6" s="5"/>
      <c r="F6" s="5"/>
      <c r="G6" s="5"/>
      <c r="H6" s="5"/>
      <c r="I6" s="5"/>
      <c r="J6" s="5"/>
      <c r="K6" s="5"/>
      <c r="L6" s="5"/>
    </row>
    <row r="7" spans="1:12" x14ac:dyDescent="0.35">
      <c r="A7" s="5"/>
      <c r="B7" s="5"/>
      <c r="C7" s="5"/>
      <c r="D7" s="5"/>
      <c r="E7" s="5"/>
      <c r="F7" s="5"/>
      <c r="G7" s="5"/>
      <c r="H7" s="5"/>
      <c r="I7" s="5"/>
      <c r="J7" s="5"/>
      <c r="K7" s="5"/>
      <c r="L7" s="5"/>
    </row>
    <row r="8" spans="1:12" x14ac:dyDescent="0.35">
      <c r="A8" s="5"/>
      <c r="B8" s="5"/>
      <c r="C8" s="5"/>
      <c r="D8" s="5"/>
      <c r="E8" s="5"/>
      <c r="F8" s="5"/>
      <c r="G8" s="5"/>
      <c r="H8" s="5"/>
      <c r="I8" s="5"/>
      <c r="J8" s="5"/>
      <c r="K8" s="5"/>
      <c r="L8" s="5"/>
    </row>
    <row r="9" spans="1:12" x14ac:dyDescent="0.35">
      <c r="A9" s="5"/>
      <c r="B9" s="5"/>
      <c r="C9" s="5"/>
      <c r="D9" s="5"/>
      <c r="E9" s="5"/>
      <c r="F9" s="5"/>
      <c r="G9" s="5"/>
      <c r="H9" s="5"/>
      <c r="I9" s="5"/>
      <c r="J9" s="5"/>
      <c r="K9" s="5"/>
      <c r="L9" s="5"/>
    </row>
    <row r="10" spans="1:12" x14ac:dyDescent="0.35">
      <c r="A10" s="5"/>
      <c r="B10" s="5"/>
      <c r="C10" s="5"/>
      <c r="D10" s="5"/>
      <c r="E10" s="5"/>
      <c r="F10" s="5"/>
      <c r="G10" s="5"/>
      <c r="H10" s="5"/>
      <c r="I10" s="5"/>
      <c r="J10" s="5"/>
      <c r="K10" s="5"/>
      <c r="L10" s="5"/>
    </row>
    <row r="11" spans="1:12" x14ac:dyDescent="0.35">
      <c r="A11" s="5"/>
      <c r="B11" s="5"/>
      <c r="C11" s="5"/>
      <c r="D11" s="5"/>
      <c r="E11" s="5"/>
      <c r="F11" s="5"/>
      <c r="G11" s="5"/>
      <c r="H11" s="5"/>
      <c r="I11" s="5"/>
      <c r="J11" s="5"/>
      <c r="K11" s="5"/>
      <c r="L11" s="5"/>
    </row>
    <row r="12" spans="1:12" x14ac:dyDescent="0.35">
      <c r="A12" s="5"/>
      <c r="B12" s="5"/>
      <c r="C12" s="5"/>
      <c r="D12" s="5"/>
      <c r="E12" s="5"/>
      <c r="F12" s="5"/>
      <c r="G12" s="5"/>
      <c r="H12" s="5"/>
      <c r="I12" s="5"/>
      <c r="J12" s="5"/>
      <c r="K12" s="5"/>
      <c r="L12" s="5"/>
    </row>
    <row r="13" spans="1:12" x14ac:dyDescent="0.35">
      <c r="A13" s="5"/>
      <c r="B13" s="5"/>
      <c r="C13" s="5"/>
      <c r="D13" s="5"/>
      <c r="E13" s="5"/>
      <c r="F13" s="5"/>
      <c r="G13" s="5"/>
      <c r="H13" s="5"/>
      <c r="I13" s="5"/>
      <c r="J13" s="5"/>
      <c r="K13" s="5"/>
      <c r="L13" s="5"/>
    </row>
    <row r="14" spans="1:12" x14ac:dyDescent="0.35">
      <c r="A14" s="5"/>
      <c r="B14" s="5"/>
      <c r="C14" s="5"/>
      <c r="D14" s="5"/>
      <c r="E14" s="5"/>
      <c r="F14" s="5"/>
      <c r="G14" s="5"/>
      <c r="H14" s="5"/>
      <c r="I14" s="5"/>
      <c r="J14" s="5"/>
      <c r="K14" s="5"/>
      <c r="L14" s="5"/>
    </row>
    <row r="15" spans="1:12" x14ac:dyDescent="0.35">
      <c r="A15" s="5"/>
      <c r="B15" s="5"/>
      <c r="C15" s="5"/>
      <c r="D15" s="5"/>
      <c r="E15" s="5"/>
      <c r="F15" s="5"/>
      <c r="G15" s="5"/>
      <c r="H15" s="5"/>
      <c r="I15" s="5"/>
      <c r="J15" s="5"/>
      <c r="K15" s="5"/>
      <c r="L15" s="5"/>
    </row>
    <row r="16" spans="1:12" x14ac:dyDescent="0.35">
      <c r="A16" s="5"/>
      <c r="B16" s="5"/>
      <c r="C16" s="5"/>
      <c r="D16" s="5"/>
      <c r="E16" s="5"/>
      <c r="F16" s="5"/>
      <c r="G16" s="5"/>
      <c r="H16" s="5"/>
      <c r="I16" s="5"/>
      <c r="J16" s="5"/>
      <c r="K16" s="5"/>
      <c r="L16" s="5"/>
    </row>
    <row r="17" spans="1:12" x14ac:dyDescent="0.35">
      <c r="A17" s="5"/>
      <c r="B17" s="5"/>
      <c r="C17" s="5"/>
      <c r="D17" s="5"/>
      <c r="E17" s="5"/>
      <c r="F17" s="5"/>
      <c r="G17" s="5"/>
      <c r="H17" s="5"/>
      <c r="I17" s="5"/>
      <c r="J17" s="5"/>
      <c r="K17" s="5"/>
      <c r="L17" s="5"/>
    </row>
    <row r="18" spans="1:12" x14ac:dyDescent="0.35">
      <c r="A18" s="5"/>
      <c r="B18" s="5"/>
      <c r="C18" s="5"/>
      <c r="D18" s="5"/>
      <c r="E18" s="5"/>
      <c r="F18" s="5"/>
      <c r="G18" s="5"/>
      <c r="H18" s="5"/>
      <c r="I18" s="5"/>
      <c r="J18" s="5"/>
      <c r="K18" s="5"/>
      <c r="L18" s="5"/>
    </row>
    <row r="19" spans="1:12" x14ac:dyDescent="0.35">
      <c r="A19" s="5"/>
      <c r="B19" s="5"/>
      <c r="C19" s="5"/>
      <c r="D19" s="5"/>
      <c r="E19" s="5"/>
      <c r="F19" s="5"/>
      <c r="G19" s="5"/>
      <c r="H19" s="5"/>
      <c r="I19" s="5"/>
      <c r="J19" s="5"/>
      <c r="K19" s="5"/>
      <c r="L19" s="5"/>
    </row>
    <row r="20" spans="1:12" x14ac:dyDescent="0.35">
      <c r="A20" s="5"/>
      <c r="B20" s="5"/>
      <c r="C20" s="5"/>
      <c r="D20" s="5"/>
      <c r="E20" s="5"/>
      <c r="F20" s="5"/>
      <c r="G20" s="5"/>
      <c r="H20" s="5"/>
      <c r="I20" s="5"/>
      <c r="J20" s="5"/>
      <c r="K20" s="5"/>
      <c r="L20" s="5"/>
    </row>
    <row r="21" spans="1:12" x14ac:dyDescent="0.35">
      <c r="A21" s="5"/>
      <c r="B21" s="5"/>
      <c r="C21" s="5"/>
      <c r="D21" s="5"/>
      <c r="E21" s="5"/>
      <c r="F21" s="5"/>
      <c r="G21" s="5"/>
      <c r="H21" s="5"/>
      <c r="I21" s="5"/>
      <c r="J21" s="5"/>
      <c r="K21" s="5"/>
      <c r="L21"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CDFADFA-4D8C-4E42-90C0-E50427387762}">
  <ds:schemaRefs/>
</ds:datastoreItem>
</file>

<file path=customXml/itemProps2.xml><?xml version="1.0" encoding="utf-8"?>
<ds:datastoreItem xmlns:ds="http://schemas.openxmlformats.org/officeDocument/2006/customXml" ds:itemID="{B78D9BE4-A0B6-4B95-B4FF-A6CCBAB196F9}">
  <ds:schemaRefs/>
</ds:datastoreItem>
</file>

<file path=customXml/itemProps3.xml><?xml version="1.0" encoding="utf-8"?>
<ds:datastoreItem xmlns:ds="http://schemas.openxmlformats.org/officeDocument/2006/customXml" ds:itemID="{E65FF9A8-30CD-4ABF-A07B-F81E154849DE}">
  <ds:schemaRefs/>
</ds:datastoreItem>
</file>

<file path=customXml/itemProps4.xml><?xml version="1.0" encoding="utf-8"?>
<ds:datastoreItem xmlns:ds="http://schemas.openxmlformats.org/officeDocument/2006/customXml" ds:itemID="{2E268F65-510C-4D2B-A35F-B29C9789757A}">
  <ds:schemaRefs/>
</ds:datastoreItem>
</file>

<file path=customXml/itemProps5.xml><?xml version="1.0" encoding="utf-8"?>
<ds:datastoreItem xmlns:ds="http://schemas.openxmlformats.org/officeDocument/2006/customXml" ds:itemID="{0C863D49-CB15-480D-ADDA-0F0EFDDCB3E6}">
  <ds:schemaRefs/>
</ds:datastoreItem>
</file>

<file path=customXml/itemProps6.xml><?xml version="1.0" encoding="utf-8"?>
<ds:datastoreItem xmlns:ds="http://schemas.openxmlformats.org/officeDocument/2006/customXml" ds:itemID="{3ACED256-CFDC-45FB-948C-3DEFC83E4CDF}">
  <ds:schemaRefs/>
</ds:datastoreItem>
</file>

<file path=customXml/itemProps7.xml><?xml version="1.0" encoding="utf-8"?>
<ds:datastoreItem xmlns:ds="http://schemas.openxmlformats.org/officeDocument/2006/customXml" ds:itemID="{BE4030B6-B408-4860-8E2B-77BDEEFA5036}">
  <ds:schemaRefs/>
</ds:datastoreItem>
</file>

<file path=customXml/itemProps8.xml><?xml version="1.0" encoding="utf-8"?>
<ds:datastoreItem xmlns:ds="http://schemas.openxmlformats.org/officeDocument/2006/customXml" ds:itemID="{33CC3EEC-156F-4119-A9F0-7D1280330A0C}">
  <ds:schemaRefs>
    <ds:schemaRef ds:uri="http://schemas.microsoft.com/DataMashup"/>
  </ds:schemaRefs>
</ds:datastoreItem>
</file>

<file path=customXml/itemProps9.xml><?xml version="1.0" encoding="utf-8"?>
<ds:datastoreItem xmlns:ds="http://schemas.openxmlformats.org/officeDocument/2006/customXml" ds:itemID="{5F07C248-282B-4787-9184-318C420A5F53}">
  <ds:schemaRefs/>
</ds:datastoreItem>
</file>

<file path=customXml/itemProps10.xml><?xml version="1.0" encoding="utf-8"?>
<ds:datastoreItem xmlns:ds="http://schemas.openxmlformats.org/officeDocument/2006/customXml" ds:itemID="{0E52DE48-0FB0-4959-9EEC-140CFBCF7A26}">
  <ds:schemaRefs/>
</ds:datastoreItem>
</file>

<file path=customXml/itemProps11.xml><?xml version="1.0" encoding="utf-8"?>
<ds:datastoreItem xmlns:ds="http://schemas.openxmlformats.org/officeDocument/2006/customXml" ds:itemID="{9AEB5A69-12C6-4ACA-BF57-0E1FEB088DEC}">
  <ds:schemaRefs/>
</ds:datastoreItem>
</file>

<file path=customXml/itemProps12.xml><?xml version="1.0" encoding="utf-8"?>
<ds:datastoreItem xmlns:ds="http://schemas.openxmlformats.org/officeDocument/2006/customXml" ds:itemID="{CE3AFAF2-6BFE-49D2-9586-2C8CFF96462D}">
  <ds:schemaRefs/>
</ds:datastoreItem>
</file>

<file path=customXml/itemProps13.xml><?xml version="1.0" encoding="utf-8"?>
<ds:datastoreItem xmlns:ds="http://schemas.openxmlformats.org/officeDocument/2006/customXml" ds:itemID="{74B5364F-CD74-41E2-9C43-198084DAB062}">
  <ds:schemaRefs/>
</ds:datastoreItem>
</file>

<file path=customXml/itemProps14.xml><?xml version="1.0" encoding="utf-8"?>
<ds:datastoreItem xmlns:ds="http://schemas.openxmlformats.org/officeDocument/2006/customXml" ds:itemID="{420550E1-C397-48C7-80B3-398F66C0D956}">
  <ds:schemaRefs/>
</ds:datastoreItem>
</file>

<file path=customXml/itemProps15.xml><?xml version="1.0" encoding="utf-8"?>
<ds:datastoreItem xmlns:ds="http://schemas.openxmlformats.org/officeDocument/2006/customXml" ds:itemID="{A7283AAD-8A0B-4B77-AA97-47580DD84BB1}">
  <ds:schemaRefs/>
</ds:datastoreItem>
</file>

<file path=customXml/itemProps16.xml><?xml version="1.0" encoding="utf-8"?>
<ds:datastoreItem xmlns:ds="http://schemas.openxmlformats.org/officeDocument/2006/customXml" ds:itemID="{863F0689-E341-4299-83F4-D857DDC676F4}">
  <ds:schemaRefs/>
</ds:datastoreItem>
</file>

<file path=customXml/itemProps17.xml><?xml version="1.0" encoding="utf-8"?>
<ds:datastoreItem xmlns:ds="http://schemas.openxmlformats.org/officeDocument/2006/customXml" ds:itemID="{97499CF6-D821-43EE-BCE1-418A2E9D2141}">
  <ds:schemaRefs/>
</ds:datastoreItem>
</file>

<file path=customXml/itemProps18.xml><?xml version="1.0" encoding="utf-8"?>
<ds:datastoreItem xmlns:ds="http://schemas.openxmlformats.org/officeDocument/2006/customXml" ds:itemID="{DD074B72-07B2-498C-8F44-401203CA8A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trends</vt:lpstr>
      <vt:lpstr>Average Wait time daily trend</vt:lpstr>
      <vt:lpstr>No.of patient visit area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2026-04-30T09:12:44Z</dcterms:created>
  <dcterms:modified xsi:type="dcterms:W3CDTF">2026-06-03T06:07:55Z</dcterms:modified>
</cp:coreProperties>
</file>